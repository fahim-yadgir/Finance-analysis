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DB09F268-FAAE-4279-B178-83D6FD58E506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  <sheet name="Pivot Table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" i="1" l="1" a="1"/>
  <c r="N45" i="1" s="1"/>
  <c r="N4" i="1"/>
  <c r="S6" i="1"/>
  <c r="O13" i="1" a="1"/>
  <c r="O13" i="1" s="1"/>
  <c r="N35" i="1" a="1"/>
  <c r="N35" i="1" s="1"/>
  <c r="N36" i="1" a="1"/>
  <c r="N36" i="1" s="1"/>
  <c r="N37" i="1" a="1"/>
  <c r="N37" i="1" s="1"/>
  <c r="N34" i="1" a="1"/>
  <c r="N34" i="1" s="1"/>
  <c r="N40" i="1" a="1"/>
  <c r="N40" i="1" s="1"/>
  <c r="Q7" i="1"/>
  <c r="N18" i="1" a="1"/>
  <c r="N18" i="1" s="1"/>
  <c r="N22" i="1" a="1"/>
  <c r="N22" i="1" s="1"/>
  <c r="N23" i="1" a="1"/>
  <c r="N23" i="1" s="1"/>
  <c r="N24" i="1" a="1"/>
  <c r="N24" i="1" s="1"/>
  <c r="N25" i="1" a="1"/>
  <c r="N25" i="1" s="1"/>
  <c r="N19" i="1" a="1"/>
  <c r="N19" i="1" s="1"/>
  <c r="N20" i="1" a="1"/>
  <c r="N20" i="1" s="1"/>
  <c r="N21" i="1" a="1"/>
  <c r="N21" i="1" s="1"/>
  <c r="N26" i="1" a="1"/>
  <c r="N26" i="1" s="1"/>
  <c r="P7" i="1"/>
  <c r="O7" i="1"/>
  <c r="N7" i="1"/>
  <c r="E395" i="1"/>
  <c r="F395" i="1"/>
  <c r="N38" i="1" s="1" a="1"/>
  <c r="N38" i="1" s="1"/>
  <c r="J395" i="1"/>
  <c r="K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<sst xmlns="http://schemas.openxmlformats.org/spreadsheetml/2006/main" count="3524" uniqueCount="749">
  <si>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</si>
  <si>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</si>
  <si>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</si>
  <si>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</si>
  <si>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</si>
  <si>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</si>
  <si>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</si>
  <si>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</si>
  <si>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</si>
  <si>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</si>
  <si>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</si>
  <si>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</si>
  <si>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</si>
  <si>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</si>
  <si>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</si>
  <si>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</si>
  <si>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</si>
  <si>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</si>
  <si>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</si>
  <si>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</si>
  <si>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</si>
  <si>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</si>
  <si>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</si>
  <si>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</si>
  <si>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</si>
  <si>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</si>
  <si>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</si>
  <si>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</si>
  <si>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</si>
  <si>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</si>
  <si>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</si>
  <si>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</si>
  <si>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</si>
  <si>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</si>
  <si>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</si>
  <si>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</si>
  <si>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</si>
  <si>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</si>
  <si>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</si>
  <si>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</si>
  <si>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</si>
  <si>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</si>
  <si>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</si>
  <si>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</si>
  <si>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</si>
  <si>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</si>
  <si>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</si>
  <si>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</si>
  <si>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</si>
  <si>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</si>
  <si>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</si>
  <si>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</si>
  <si>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</si>
  <si>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</si>
  <si>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</si>
  <si>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</si>
  <si>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</si>
  <si>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</si>
  <si>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</si>
  <si>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</si>
  <si>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</si>
  <si>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</si>
  <si>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</si>
  <si>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</si>
  <si>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</si>
  <si>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</si>
  <si>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</si>
  <si>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</si>
  <si>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</si>
  <si>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</si>
  <si>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</si>
  <si>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</si>
  <si>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</si>
  <si>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</si>
  <si>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</si>
  <si>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</si>
  <si>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</si>
  <si>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</si>
  <si>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</si>
  <si>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</si>
  <si>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</si>
  <si>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</si>
  <si>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</si>
  <si>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</si>
  <si>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</si>
  <si>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</si>
  <si>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</si>
  <si>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</si>
  <si>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</si>
  <si>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</si>
  <si>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</si>
  <si>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</si>
  <si>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</si>
  <si>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</si>
  <si>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</si>
  <si>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</si>
  <si>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</si>
  <si>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</si>
  <si>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</si>
  <si>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</si>
  <si>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</si>
  <si>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</si>
  <si>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</si>
  <si>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</si>
  <si>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</si>
  <si>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</si>
  <si>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</si>
  <si>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</si>
  <si>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</si>
  <si>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</si>
  <si>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</si>
  <si>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</si>
  <si>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</si>
  <si>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</si>
  <si>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</si>
  <si>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</si>
  <si>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</si>
  <si>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</si>
  <si>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</si>
  <si>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</si>
  <si>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</si>
  <si>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</si>
  <si>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</si>
  <si>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</si>
  <si>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</si>
  <si>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</si>
  <si>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</si>
  <si>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</si>
  <si>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</si>
  <si>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</si>
  <si>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</si>
  <si>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</si>
  <si>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</si>
  <si>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</si>
  <si>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</si>
  <si>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</si>
  <si>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</si>
  <si>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</si>
  <si>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</si>
  <si>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</si>
  <si>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</si>
  <si>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</si>
  <si>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</si>
  <si>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</si>
  <si>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</si>
  <si>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</si>
  <si>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</si>
  <si>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</si>
  <si>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</si>
  <si>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</si>
  <si>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</si>
  <si>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</si>
  <si>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</si>
  <si>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</si>
  <si>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</si>
  <si>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</si>
  <si>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</si>
  <si>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</si>
  <si>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</si>
  <si>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</si>
  <si>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</si>
  <si>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</si>
  <si>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</si>
  <si>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</si>
  <si>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</si>
  <si>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</si>
  <si>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</si>
  <si>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</si>
  <si>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</si>
  <si>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</si>
  <si>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</si>
  <si>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</si>
  <si>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</si>
  <si>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</si>
  <si>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</si>
  <si>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</si>
  <si>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</si>
  <si>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</si>
  <si>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</si>
  <si>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</si>
  <si>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</si>
  <si>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</si>
  <si>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</si>
  <si>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</si>
  <si>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</si>
  <si>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</si>
  <si>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</si>
  <si>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</si>
  <si>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</si>
  <si>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</si>
  <si>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</si>
  <si>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</si>
  <si>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</si>
  <si>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</si>
  <si>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</si>
  <si>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</si>
  <si>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</si>
  <si>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</si>
  <si>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</si>
  <si>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</si>
  <si>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</si>
  <si>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</si>
  <si>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</si>
  <si>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</si>
  <si>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</si>
  <si>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</si>
  <si>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</si>
  <si>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</si>
  <si>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</si>
  <si>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</si>
  <si>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</si>
  <si>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</si>
  <si>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</si>
  <si>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</si>
  <si>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</si>
  <si>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</si>
  <si>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</si>
  <si>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</si>
  <si>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</si>
  <si>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</si>
  <si>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</si>
  <si>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</si>
  <si>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</si>
  <si>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</si>
  <si>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</si>
  <si>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</si>
  <si>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</si>
  <si>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</si>
  <si>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</si>
  <si>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</si>
  <si>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</si>
  <si>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</si>
  <si>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</si>
  <si>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</si>
  <si>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</si>
  <si>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</si>
  <si>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</si>
  <si>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</si>
  <si>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</si>
  <si>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</si>
  <si>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</si>
  <si>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</si>
  <si>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</si>
  <si>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</si>
  <si>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</si>
  <si>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</si>
  <si>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</si>
  <si>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</si>
  <si>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</si>
  <si>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</si>
  <si>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</si>
  <si>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</si>
  <si>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</si>
  <si>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</si>
  <si>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</si>
  <si>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</si>
  <si>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</si>
  <si>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</si>
  <si>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</si>
  <si>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</si>
  <si>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</si>
  <si>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</si>
  <si>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</si>
  <si>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</si>
  <si>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</si>
  <si>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</si>
  <si>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</si>
  <si>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</si>
  <si>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</si>
  <si>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</si>
  <si>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</si>
  <si>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</si>
  <si>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</si>
  <si>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</si>
  <si>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</si>
  <si>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</si>
  <si>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</si>
  <si>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</si>
  <si>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</si>
  <si>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</si>
  <si>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</si>
  <si>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</si>
  <si>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</si>
  <si>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</si>
  <si>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</si>
  <si>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</si>
  <si>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</si>
  <si>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</si>
  <si>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</si>
  <si>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</si>
  <si>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</si>
  <si>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</si>
  <si>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</si>
  <si>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</si>
  <si>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</si>
  <si>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</si>
  <si>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</si>
  <si>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</si>
  <si>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</si>
  <si>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</si>
  <si>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</si>
  <si>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</si>
  <si>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</si>
  <si>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</si>
  <si>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</si>
  <si>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</si>
  <si>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</si>
  <si>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</si>
  <si>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</si>
  <si>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</si>
  <si>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</si>
  <si>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</si>
  <si>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</si>
  <si>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</si>
  <si>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</si>
  <si>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</si>
  <si>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</si>
  <si>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</si>
  <si>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</si>
  <si>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</si>
  <si>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</si>
  <si>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</si>
  <si>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</si>
  <si>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</si>
  <si>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</si>
  <si>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</si>
  <si>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</si>
  <si>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</si>
  <si>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</si>
  <si>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</si>
  <si>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</si>
  <si>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</si>
  <si>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</si>
  <si>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</si>
  <si>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</si>
  <si>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</si>
  <si>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</si>
  <si>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</si>
  <si>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</si>
  <si>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</si>
  <si>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</si>
  <si>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</si>
  <si>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</si>
  <si>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</si>
  <si>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</si>
  <si>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</si>
  <si>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</si>
  <si>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</si>
  <si>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</si>
  <si>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</si>
  <si>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</si>
  <si>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</si>
  <si>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</si>
  <si>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</si>
  <si>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</si>
  <si>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</si>
  <si>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</si>
  <si>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</si>
  <si>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</si>
  <si>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</si>
  <si>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</si>
  <si>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</si>
  <si>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</si>
  <si>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</si>
  <si>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</si>
  <si>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</si>
  <si>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</si>
  <si>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</si>
  <si>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</si>
  <si>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</si>
  <si>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</si>
  <si>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</si>
  <si>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</si>
  <si>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</si>
  <si>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</si>
  <si>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</si>
  <si>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</si>
  <si>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</si>
  <si>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</si>
  <si>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</si>
  <si>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</si>
  <si>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</si>
  <si>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</si>
  <si>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</si>
  <si>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</si>
  <si>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</si>
  <si>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</si>
  <si>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</si>
  <si>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</si>
  <si>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</si>
  <si>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</si>
  <si>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</si>
  <si>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</si>
  <si>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</si>
  <si>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</si>
  <si>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</si>
  <si>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</si>
  <si>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</si>
  <si>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</si>
  <si>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</si>
  <si>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</si>
  <si>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</si>
  <si>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</si>
  <si>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</si>
  <si>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</si>
  <si>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</si>
  <si>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</si>
  <si>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</si>
  <si>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</si>
  <si>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</si>
  <si>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</si>
  <si>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</si>
  <si>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</si>
  <si>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</si>
  <si>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</si>
  <si>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</si>
  <si>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</si>
  <si>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</si>
  <si>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</si>
  <si>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</si>
  <si>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</si>
  <si>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</si>
  <si>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</si>
  <si>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</si>
  <si>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</si>
  <si>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</si>
  <si>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</si>
  <si>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</si>
  <si>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</si>
  <si>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</si>
  <si>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</si>
  <si>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</si>
  <si>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</si>
  <si>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</si>
  <si>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</si>
  <si>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</si>
  <si>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</si>
  <si>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</si>
  <si>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</si>
  <si>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</si>
  <si>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</si>
  <si>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</si>
  <si>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</si>
  <si>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</si>
  <si>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</si>
  <si>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</si>
  <si>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</si>
  <si>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</si>
  <si>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</si>
  <si>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</si>
  <si>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</si>
  <si>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</si>
  <si>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</si>
  <si>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</si>
  <si>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</si>
  <si>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</si>
  <si>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</si>
  <si>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</si>
  <si>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</si>
  <si>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</si>
  <si>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</si>
  <si>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</si>
  <si>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</si>
  <si>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</si>
  <si>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</si>
  <si>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</si>
  <si>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</si>
  <si>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</si>
  <si>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</si>
  <si>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</si>
  <si>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</si>
  <si>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</si>
  <si>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</si>
  <si>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</si>
  <si>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</si>
  <si>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</si>
  <si>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</si>
  <si>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</si>
  <si>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</si>
  <si>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</si>
  <si>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</si>
  <si>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</si>
  <si>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</si>
  <si>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</si>
  <si>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</si>
  <si>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</si>
  <si>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</si>
  <si>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</si>
  <si>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</si>
  <si>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</si>
  <si>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</si>
  <si>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</si>
  <si>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</si>
  <si>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</si>
  <si>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</si>
  <si>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</si>
  <si>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</si>
  <si>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</si>
  <si>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</si>
  <si>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</si>
  <si>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</si>
  <si>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</si>
  <si>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</si>
  <si>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</si>
  <si>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</si>
  <si>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</si>
  <si>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</si>
  <si>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</si>
  <si>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</si>
  <si>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</si>
  <si>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</si>
  <si>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</si>
  <si>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</si>
  <si>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</si>
  <si>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</si>
  <si>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</si>
  <si>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</si>
  <si>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</si>
  <si>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</si>
  <si>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</si>
  <si>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</si>
  <si>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</si>
  <si>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</si>
  <si>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</si>
  <si>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</si>
  <si>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</si>
  <si>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</si>
  <si>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</si>
  <si>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</si>
  <si>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</si>
  <si>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</si>
  <si>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</si>
  <si>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</si>
  <si>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</si>
  <si>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</si>
  <si>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</si>
  <si>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</si>
  <si>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</si>
  <si>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</si>
  <si>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</si>
  <si>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</si>
  <si>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</si>
  <si>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</si>
  <si>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</si>
  <si>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</si>
  <si>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</si>
  <si>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</si>
  <si>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</si>
  <si>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</si>
  <si>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</si>
  <si>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</si>
  <si>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</si>
  <si>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</si>
  <si>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</si>
  <si>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</si>
  <si>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</si>
  <si>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</si>
  <si>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</si>
  <si>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</si>
  <si>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</si>
  <si>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</si>
  <si>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</si>
  <si>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</si>
  <si>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</si>
  <si>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</si>
  <si>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</si>
  <si>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</si>
  <si>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</si>
  <si>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</si>
  <si>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</si>
  <si>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</si>
  <si>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</si>
  <si>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</si>
  <si>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</si>
  <si>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</si>
  <si>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</si>
  <si>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</si>
  <si>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</si>
  <si>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</si>
  <si>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</si>
  <si>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</si>
  <si>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</si>
  <si>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</si>
  <si>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</si>
  <si>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</si>
  <si>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</si>
  <si>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</si>
  <si>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</si>
  <si>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</si>
  <si>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</si>
  <si>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</si>
  <si>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</si>
  <si>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</si>
  <si>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</si>
  <si>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</si>
  <si>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</si>
  <si>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</si>
  <si>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</si>
  <si>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</si>
  <si>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</si>
  <si>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</si>
  <si>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</si>
  <si>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</si>
  <si>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</si>
  <si>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</si>
  <si>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</si>
  <si>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</si>
  <si>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</si>
  <si>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</si>
  <si>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</si>
  <si>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</si>
  <si>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</si>
  <si>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</si>
  <si>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</si>
  <si>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</si>
  <si>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</si>
  <si>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</si>
  <si>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</si>
  <si>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</si>
  <si>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</si>
  <si>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</si>
  <si>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</si>
  <si>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</si>
  <si>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</si>
  <si>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</si>
  <si>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</si>
  <si>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</si>
  <si>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</si>
  <si>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</si>
  <si>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</si>
  <si>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</si>
  <si>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</si>
  <si>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</si>
  <si>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</si>
  <si>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</si>
  <si>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</si>
  <si>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</si>
  <si>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</si>
  <si>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</si>
  <si>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</si>
  <si>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</si>
  <si>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</si>
  <si>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</si>
  <si>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</si>
  <si>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</si>
  <si>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</si>
  <si>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</si>
  <si>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</si>
  <si>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</si>
  <si>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</si>
  <si>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</si>
  <si>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</si>
  <si>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</si>
  <si>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</si>
  <si>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</si>
  <si>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</si>
  <si>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</si>
  <si>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</si>
  <si>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</si>
  <si>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</si>
  <si>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</si>
  <si>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</si>
  <si>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</si>
  <si>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</si>
  <si>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</si>
  <si>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</si>
  <si>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</si>
  <si>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</si>
  <si>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</si>
  <si>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</si>
  <si>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</si>
  <si>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</si>
  <si>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</si>
  <si>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</si>
  <si>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</si>
  <si>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</si>
  <si>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</si>
  <si>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</si>
  <si>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</si>
  <si>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</si>
  <si>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</si>
  <si>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</si>
  <si>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</si>
  <si>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</si>
  <si>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</si>
  <si>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</si>
  <si>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</si>
  <si>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</si>
  <si>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</si>
  <si>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</si>
  <si>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</si>
  <si>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</si>
  <si>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</si>
  <si>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</si>
  <si>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</si>
  <si>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</si>
  <si>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</si>
  <si>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</si>
  <si>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</si>
  <si>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</si>
  <si>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</si>
  <si>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</si>
  <si>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</si>
  <si>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</si>
  <si>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</si>
  <si>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</si>
  <si>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</si>
  <si>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</si>
  <si>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</si>
  <si>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</si>
  <si>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</si>
  <si>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</si>
  <si>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</si>
  <si>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</si>
  <si>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</si>
  <si>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</si>
  <si>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</si>
  <si>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</si>
  <si>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</si>
  <si>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</si>
  <si>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124nonenonenone</t>
  </si>
  <si>
    <t>92nonenonenone</t>
  </si>
  <si>
    <t>74nonenonenone</t>
  </si>
  <si>
    <t>165nonenonenone</t>
  </si>
  <si>
    <t>16nonenonenonenone</t>
  </si>
  <si>
    <t>139nonenonenone</t>
  </si>
  <si>
    <t>95nonenonenone</t>
  </si>
  <si>
    <t>24nonenonenonenone</t>
  </si>
  <si>
    <t>159nonenonenone</t>
  </si>
  <si>
    <t>19nonenonenonenone</t>
  </si>
  <si>
    <t>67nonenonenone</t>
  </si>
  <si>
    <t>15nonenonenonenone</t>
  </si>
  <si>
    <t>253nonenonenone</t>
  </si>
  <si>
    <t>132nonenonenone</t>
  </si>
  <si>
    <t>2nonenonenonenonenone</t>
  </si>
  <si>
    <t>175nonenonenone</t>
  </si>
  <si>
    <t>185nonenonenone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</si>
  <si>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</si>
  <si>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</si>
  <si>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</si>
  <si>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</si>
  <si>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</si>
  <si>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</si>
  <si>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</si>
  <si>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</si>
  <si>
    <t>2none</t>
  </si>
  <si>
    <t>1none</t>
  </si>
  <si>
    <t>Home_ownership</t>
  </si>
  <si>
    <t>total_annual_inc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</si>
</sst>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8" borderId="10" xfId="0" applyFill="1" applyBorder="1"/>
    <xf numFmtId="0" fontId="0" fillId="39" borderId="10" xfId="0" applyFill="1" applyBorder="1"/>
    <xf numFmtId="0" fontId="0" fillId="36" borderId="11" xfId="0" applyFill="1" applyBorder="1" applyAlignment="1">
      <alignment horizontal="center"/>
    </xf>
    <xf numFmtId="0" fontId="0" fillId="38" borderId="10" xfId="0" applyFill="1" applyBorder="1" applyAlignment="1">
      <alignment horizontal="right"/>
    </xf>
    <xf numFmtId="0" fontId="0" fillId="37" borderId="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K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K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W395"/>
  <sheetViews>
    <sheetView tabSelected="1" topLeftCell="C1" zoomScale="72" workbookViewId="0">
      <selection activeCell="Q56" sqref="Q56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bestFit="1" customWidth="1"/>
    <col min="7" max="7" width="14.109375" style="5" customWidth="1"/>
    <col min="8" max="8" width="8" style="12" bestFit="1" customWidth="1"/>
    <col min="9" max="9" width="9.44140625" style="12" bestFit="1" customWidth="1"/>
    <col min="10" max="10" width="10.44140625" bestFit="1" customWidth="1"/>
    <col min="11" max="11" width="10.21875" bestFit="1" customWidth="1"/>
    <col min="13" max="13" width="12.33203125" bestFit="1" customWidth="1"/>
    <col min="14" max="14" width="25.88671875" bestFit="1" customWidth="1"/>
    <col min="15" max="15" width="10.44140625" bestFit="1" customWidth="1"/>
    <col min="16" max="16" width="15.21875" bestFit="1" customWidth="1"/>
    <col min="17" max="17" width="9.88671875" bestFit="1" customWidth="1"/>
    <col min="18" max="18" width="14.44140625" bestFit="1" customWidth="1"/>
    <col min="19" max="19" width="16" bestFit="1" customWidth="1"/>
    <col min="20" max="20" width="8.109375" bestFit="1" customWidth="1"/>
    <col min="21" max="21" width="9.5546875" bestFit="1" customWidth="1"/>
    <col min="22" max="23" width="10.33203125" bestFit="1" customWidth="1"/>
    <col min="24" max="24" width="9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0" t="s">
        <v>7</v>
      </c>
      <c r="I1" s="10" t="s">
        <v>8</v>
      </c>
      <c r="J1" s="1" t="s">
        <v>9</v>
      </c>
      <c r="K1" s="1" t="s">
        <v>10</v>
      </c>
    </row>
    <row r="2" spans="1:19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4" t="s">
        <v>15</v>
      </c>
      <c r="H2" s="11" t="s">
        <v>16</v>
      </c>
      <c r="I2" s="11" t="s">
        <v>17</v>
      </c>
      <c r="J2" s="2">
        <v>6864</v>
      </c>
      <c r="K2" s="2">
        <v>34322</v>
      </c>
    </row>
    <row r="3" spans="1:19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4" t="s">
        <v>20</v>
      </c>
      <c r="H3" s="11" t="s">
        <v>16</v>
      </c>
      <c r="I3" s="11" t="s">
        <v>17</v>
      </c>
      <c r="J3" s="2">
        <v>7930</v>
      </c>
      <c r="K3" s="2">
        <v>150674</v>
      </c>
      <c r="N3" s="5" t="s">
        <v>748</v>
      </c>
    </row>
    <row r="4" spans="1:19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4" t="s">
        <v>22</v>
      </c>
      <c r="H4" s="11" t="s">
        <v>23</v>
      </c>
      <c r="I4" s="11" t="s">
        <v>17</v>
      </c>
      <c r="J4" s="2">
        <v>15652</v>
      </c>
      <c r="K4" s="2">
        <v>281735</v>
      </c>
      <c r="N4">
        <f>SUM(E2:E395)</f>
        <v>76670139.898000002</v>
      </c>
    </row>
    <row r="5" spans="1:19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13</v>
      </c>
      <c r="G5" s="4" t="s">
        <v>15</v>
      </c>
      <c r="H5" s="11" t="s">
        <v>25</v>
      </c>
      <c r="I5" s="11" t="s">
        <v>26</v>
      </c>
      <c r="J5" s="2">
        <v>14042</v>
      </c>
      <c r="K5" s="2">
        <v>379132</v>
      </c>
    </row>
    <row r="6" spans="1:19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4" t="s">
        <v>22</v>
      </c>
      <c r="H6" s="11" t="s">
        <v>28</v>
      </c>
      <c r="I6" s="11" t="s">
        <v>29</v>
      </c>
      <c r="J6" s="2">
        <v>21477</v>
      </c>
      <c r="K6" s="2">
        <v>193292</v>
      </c>
      <c r="N6" s="6" t="s">
        <v>714</v>
      </c>
      <c r="O6" s="6" t="s">
        <v>5</v>
      </c>
      <c r="P6" s="7" t="s">
        <v>715</v>
      </c>
      <c r="Q6" s="7" t="s">
        <v>716</v>
      </c>
      <c r="S6">
        <f>COUNTIF(D1:D394,R11)</f>
        <v>1</v>
      </c>
    </row>
    <row r="7" spans="1:19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4" t="s">
        <v>15</v>
      </c>
      <c r="H7" s="11" t="s">
        <v>34</v>
      </c>
      <c r="I7" s="11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" si="0">SUM(F1:F394)</f>
        <v>0</v>
      </c>
      <c r="P7" s="8">
        <f>SUM(J1:J394)</f>
        <v>3202883</v>
      </c>
      <c r="Q7" s="8">
        <f>SUM(J1:J394)</f>
        <v>3202883</v>
      </c>
    </row>
    <row r="8" spans="1:19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4" t="s">
        <v>15</v>
      </c>
      <c r="H8" s="11" t="s">
        <v>34</v>
      </c>
      <c r="I8" s="11" t="s">
        <v>35</v>
      </c>
      <c r="J8" s="2">
        <v>40809</v>
      </c>
      <c r="K8" s="2">
        <v>408091</v>
      </c>
    </row>
    <row r="9" spans="1:19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4" t="s">
        <v>15</v>
      </c>
      <c r="H9" s="11" t="s">
        <v>34</v>
      </c>
      <c r="I9" s="11" t="s">
        <v>35</v>
      </c>
      <c r="J9" s="2">
        <v>2445</v>
      </c>
      <c r="K9" s="2">
        <v>24448</v>
      </c>
    </row>
    <row r="10" spans="1:19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4" t="s">
        <v>15</v>
      </c>
      <c r="H10" s="11" t="s">
        <v>34</v>
      </c>
      <c r="I10" s="11" t="s">
        <v>35</v>
      </c>
      <c r="J10" s="2">
        <v>2541</v>
      </c>
      <c r="K10" s="2">
        <v>30491</v>
      </c>
      <c r="O10" s="18" t="s">
        <v>747</v>
      </c>
      <c r="P10" s="18"/>
      <c r="Q10" s="18"/>
      <c r="R10" s="18"/>
    </row>
    <row r="11" spans="1:19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4" t="s">
        <v>20</v>
      </c>
      <c r="H11" s="11" t="s">
        <v>34</v>
      </c>
      <c r="I11" s="11" t="s">
        <v>35</v>
      </c>
      <c r="J11" s="2">
        <v>1976</v>
      </c>
      <c r="K11" s="2">
        <v>5927</v>
      </c>
      <c r="O11" s="16" t="s">
        <v>14</v>
      </c>
      <c r="P11" s="16" t="s">
        <v>19</v>
      </c>
      <c r="Q11" s="16" t="s">
        <v>33</v>
      </c>
      <c r="R11" s="16" t="s">
        <v>697</v>
      </c>
    </row>
    <row r="12" spans="1:19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4" t="s">
        <v>15</v>
      </c>
      <c r="H12" s="11" t="s">
        <v>34</v>
      </c>
      <c r="I12" s="11" t="s">
        <v>35</v>
      </c>
      <c r="J12" s="2">
        <v>5057</v>
      </c>
      <c r="K12" s="2">
        <v>96087</v>
      </c>
      <c r="O12" s="17"/>
      <c r="P12" s="17"/>
      <c r="Q12" s="17"/>
      <c r="R12" s="17"/>
    </row>
    <row r="13" spans="1:19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4" t="s">
        <v>20</v>
      </c>
      <c r="H13" s="11" t="s">
        <v>34</v>
      </c>
      <c r="I13" s="11" t="s">
        <v>35</v>
      </c>
      <c r="J13" s="2">
        <v>2368</v>
      </c>
      <c r="K13" s="2">
        <v>40264</v>
      </c>
      <c r="O13" s="17" cm="1">
        <f t="array" ref="O13:R13">COUNTIFS(D2:D394,O11:R11)</f>
        <v>279</v>
      </c>
      <c r="P13" s="17">
        <v>65</v>
      </c>
      <c r="Q13" s="17">
        <v>48</v>
      </c>
      <c r="R13" s="17">
        <v>1</v>
      </c>
    </row>
    <row r="14" spans="1:19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4" t="s">
        <v>20</v>
      </c>
      <c r="H14" s="11" t="s">
        <v>34</v>
      </c>
      <c r="I14" s="11" t="s">
        <v>35</v>
      </c>
      <c r="J14" s="2">
        <v>635</v>
      </c>
      <c r="K14" s="2">
        <v>5714</v>
      </c>
    </row>
    <row r="15" spans="1:19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4" t="s">
        <v>20</v>
      </c>
      <c r="H15" s="11" t="s">
        <v>34</v>
      </c>
      <c r="I15" s="11" t="s">
        <v>35</v>
      </c>
      <c r="J15" s="2">
        <v>1388</v>
      </c>
      <c r="K15" s="2">
        <v>16656</v>
      </c>
    </row>
    <row r="16" spans="1:19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4" t="s">
        <v>22</v>
      </c>
      <c r="H16" s="11" t="s">
        <v>34</v>
      </c>
      <c r="I16" s="11" t="s">
        <v>35</v>
      </c>
      <c r="J16" s="2">
        <v>2890</v>
      </c>
      <c r="K16" s="2">
        <v>37575</v>
      </c>
    </row>
    <row r="17" spans="1:23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4" t="s">
        <v>15</v>
      </c>
      <c r="H17" s="11" t="s">
        <v>28</v>
      </c>
      <c r="I17" s="11" t="s">
        <v>29</v>
      </c>
      <c r="J17" s="2">
        <v>23727</v>
      </c>
      <c r="K17" s="2">
        <v>142362</v>
      </c>
      <c r="M17" s="9" t="s">
        <v>717</v>
      </c>
      <c r="N17" s="9" t="s">
        <v>718</v>
      </c>
      <c r="O17" s="9" t="s">
        <v>2</v>
      </c>
      <c r="P17" s="9" t="s">
        <v>3</v>
      </c>
      <c r="Q17" s="9" t="s">
        <v>4</v>
      </c>
      <c r="R17" s="9" t="s">
        <v>5</v>
      </c>
      <c r="S17" s="9" t="s">
        <v>6</v>
      </c>
      <c r="T17" s="9" t="s">
        <v>7</v>
      </c>
      <c r="U17" s="9" t="s">
        <v>8</v>
      </c>
      <c r="V17" s="9" t="s">
        <v>9</v>
      </c>
      <c r="W17" s="9" t="s">
        <v>719</v>
      </c>
    </row>
    <row r="18" spans="1:23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4" t="s">
        <v>20</v>
      </c>
      <c r="H18" s="11" t="s">
        <v>34</v>
      </c>
      <c r="I18" s="11" t="s">
        <v>35</v>
      </c>
      <c r="J18" s="2">
        <v>5474</v>
      </c>
      <c r="K18" s="2">
        <v>76641</v>
      </c>
      <c r="M18" s="2" t="s">
        <v>128</v>
      </c>
      <c r="N18" s="2" t="str" cm="1">
        <f t="array" ref="N18:W18">_xlfn.XLOOKUP(M18,A2:A394,B2:K394,"not found",0)</f>
        <v>Mechanical</v>
      </c>
      <c r="O18" s="2" t="str">
        <v>5 years</v>
      </c>
      <c r="P18" s="2" t="str">
        <v>Rent</v>
      </c>
      <c r="Q18" s="2">
        <v>49000</v>
      </c>
      <c r="R18" s="2" t="str">
        <v>none</v>
      </c>
      <c r="S18" s="2" t="str">
        <v>Source Verified</v>
      </c>
      <c r="T18" s="2" t="str">
        <v>109xx</v>
      </c>
      <c r="U18" s="2" t="str">
        <v>NY</v>
      </c>
      <c r="V18" s="2">
        <v>2192</v>
      </c>
      <c r="W18" s="2">
        <v>19731</v>
      </c>
    </row>
    <row r="19" spans="1:23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4" t="s">
        <v>20</v>
      </c>
      <c r="H19" s="11" t="s">
        <v>34</v>
      </c>
      <c r="I19" s="11" t="s">
        <v>35</v>
      </c>
      <c r="J19" s="2">
        <v>6927</v>
      </c>
      <c r="K19" s="2">
        <v>69267</v>
      </c>
      <c r="M19" s="2" t="s">
        <v>64</v>
      </c>
      <c r="N19" s="2" t="str" cm="1">
        <f t="array" ref="N19:W19">_xlfn.XLOOKUP(M19,A3:A395,B3:K395,"not found",0)</f>
        <v>Corrections Officer</v>
      </c>
      <c r="O19" s="2" t="str">
        <v>5 years</v>
      </c>
      <c r="P19" s="2" t="str">
        <v>Mortgage</v>
      </c>
      <c r="Q19" s="2">
        <v>74000</v>
      </c>
      <c r="R19" s="2" t="str">
        <v>none</v>
      </c>
      <c r="S19" s="2" t="str">
        <v>Verified</v>
      </c>
      <c r="T19" s="2" t="str">
        <v>107xx</v>
      </c>
      <c r="U19" s="2" t="str">
        <v>NY</v>
      </c>
      <c r="V19" s="2">
        <v>47824</v>
      </c>
      <c r="W19" s="2">
        <v>382595</v>
      </c>
    </row>
    <row r="20" spans="1:23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4" t="s">
        <v>20</v>
      </c>
      <c r="H20" s="11" t="s">
        <v>34</v>
      </c>
      <c r="I20" s="11" t="s">
        <v>35</v>
      </c>
      <c r="J20" s="2">
        <v>1002</v>
      </c>
      <c r="K20" s="2">
        <v>7013</v>
      </c>
      <c r="M20" s="2" t="s">
        <v>132</v>
      </c>
      <c r="N20" s="2" t="str" cm="1">
        <f t="array" ref="N20:W20">_xlfn.XLOOKUP(M20,A4:A396,B4:K396,"not found",0)</f>
        <v xml:space="preserve">Claims Adjuster </v>
      </c>
      <c r="O20" s="2" t="str">
        <v>5 years</v>
      </c>
      <c r="P20" s="2" t="str">
        <v>Rent</v>
      </c>
      <c r="Q20" s="2">
        <v>38000</v>
      </c>
      <c r="R20" s="2" t="str">
        <v>none</v>
      </c>
      <c r="S20" s="2" t="str">
        <v>Not Verified</v>
      </c>
      <c r="T20" s="2" t="str">
        <v>109xx</v>
      </c>
      <c r="U20" s="2" t="str">
        <v>NY</v>
      </c>
      <c r="V20" s="2">
        <v>1381</v>
      </c>
      <c r="W20" s="2">
        <v>19340</v>
      </c>
    </row>
    <row r="21" spans="1:23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4" t="s">
        <v>22</v>
      </c>
      <c r="H21" s="11" t="s">
        <v>34</v>
      </c>
      <c r="I21" s="11" t="s">
        <v>35</v>
      </c>
      <c r="J21" s="2">
        <v>1441</v>
      </c>
      <c r="K21" s="2">
        <v>28818</v>
      </c>
      <c r="M21" s="2" t="s">
        <v>134</v>
      </c>
      <c r="N21" s="2" t="str" cm="1">
        <f t="array" ref="N21:W21">_xlfn.XLOOKUP(M21,A5:A397,B5:K397,"not found",0)</f>
        <v>Csr</v>
      </c>
      <c r="O21" s="2" t="str">
        <v>5 years</v>
      </c>
      <c r="P21" s="2" t="str">
        <v>Mortgage</v>
      </c>
      <c r="Q21" s="2">
        <v>65000</v>
      </c>
      <c r="R21" s="2" t="str">
        <v>none</v>
      </c>
      <c r="S21" s="2" t="str">
        <v>Not Verified</v>
      </c>
      <c r="T21" s="2" t="str">
        <v>109xx</v>
      </c>
      <c r="U21" s="2" t="str">
        <v>NY</v>
      </c>
      <c r="V21" s="2">
        <v>20384</v>
      </c>
      <c r="W21" s="2">
        <v>448449</v>
      </c>
    </row>
    <row r="22" spans="1:23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4" t="s">
        <v>20</v>
      </c>
      <c r="H22" s="11" t="s">
        <v>34</v>
      </c>
      <c r="I22" s="11" t="s">
        <v>35</v>
      </c>
      <c r="J22" s="2">
        <v>2576</v>
      </c>
      <c r="K22" s="2">
        <v>36059</v>
      </c>
      <c r="M22" s="2" t="s">
        <v>136</v>
      </c>
      <c r="N22" s="2" t="str" cm="1">
        <f t="array" ref="N22:W22">_xlfn.XLOOKUP(M22,A6:A398,B6:K398,"not found",0)</f>
        <v>Application Developer</v>
      </c>
      <c r="O22" s="2" t="str">
        <v>5 years</v>
      </c>
      <c r="P22" s="2" t="str">
        <v>Mortgage</v>
      </c>
      <c r="Q22" s="2">
        <v>135000</v>
      </c>
      <c r="R22" s="2" t="str">
        <v>none</v>
      </c>
      <c r="S22" s="2" t="str">
        <v>Not Verified</v>
      </c>
      <c r="T22" s="2" t="str">
        <v>109xx</v>
      </c>
      <c r="U22" s="2" t="str">
        <v>NY</v>
      </c>
      <c r="V22" s="2">
        <v>35562</v>
      </c>
      <c r="W22" s="2">
        <v>355619</v>
      </c>
    </row>
    <row r="23" spans="1:23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4" t="s">
        <v>15</v>
      </c>
      <c r="H23" s="11" t="s">
        <v>34</v>
      </c>
      <c r="I23" s="11" t="s">
        <v>35</v>
      </c>
      <c r="J23" s="2">
        <v>47824</v>
      </c>
      <c r="K23" s="2">
        <v>382595</v>
      </c>
      <c r="M23" s="2" t="s">
        <v>138</v>
      </c>
      <c r="N23" s="2" t="str" cm="1">
        <f t="array" ref="N23:W23">_xlfn.XLOOKUP(M23,A7:A399,B7:K399,"not found",0)</f>
        <v>None</v>
      </c>
      <c r="O23" s="2" t="str">
        <v>none</v>
      </c>
      <c r="P23" s="2" t="str">
        <v>Mortgage</v>
      </c>
      <c r="Q23" s="2">
        <v>52800</v>
      </c>
      <c r="R23" s="2" t="str">
        <v>none</v>
      </c>
      <c r="S23" s="2" t="str">
        <v>Verified</v>
      </c>
      <c r="T23" s="2" t="str">
        <v>480xx</v>
      </c>
      <c r="U23" s="2" t="str">
        <v>MI</v>
      </c>
      <c r="V23" s="2">
        <v>21029</v>
      </c>
      <c r="W23" s="2">
        <v>105146</v>
      </c>
    </row>
    <row r="24" spans="1:23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4" t="s">
        <v>22</v>
      </c>
      <c r="H24" s="11" t="s">
        <v>34</v>
      </c>
      <c r="I24" s="11" t="s">
        <v>35</v>
      </c>
      <c r="J24" s="2">
        <v>2583</v>
      </c>
      <c r="K24" s="2">
        <v>28413</v>
      </c>
      <c r="M24" s="2" t="s">
        <v>139</v>
      </c>
      <c r="N24" s="2" t="str" cm="1">
        <f t="array" ref="N24:W24">_xlfn.XLOOKUP(M24,A8:A400,B8:K400,"not found",0)</f>
        <v>National Client Space Manager</v>
      </c>
      <c r="O24" s="2" t="str">
        <v>5 years</v>
      </c>
      <c r="P24" s="2" t="str">
        <v>Mortgage</v>
      </c>
      <c r="Q24" s="2">
        <v>86000</v>
      </c>
      <c r="R24" s="2" t="str">
        <v>none</v>
      </c>
      <c r="S24" s="2" t="str">
        <v>Source Verified</v>
      </c>
      <c r="T24" s="2" t="str">
        <v>109xx</v>
      </c>
      <c r="U24" s="2" t="str">
        <v>NY</v>
      </c>
      <c r="V24" s="2">
        <v>19868</v>
      </c>
      <c r="W24" s="2">
        <v>298017</v>
      </c>
    </row>
    <row r="25" spans="1:23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4" t="s">
        <v>22</v>
      </c>
      <c r="H25" s="11" t="s">
        <v>34</v>
      </c>
      <c r="I25" s="11" t="s">
        <v>35</v>
      </c>
      <c r="J25" s="2">
        <v>3125</v>
      </c>
      <c r="K25" s="2">
        <v>40630</v>
      </c>
      <c r="M25" s="2" t="s">
        <v>141</v>
      </c>
      <c r="N25" s="2" t="str" cm="1">
        <f t="array" ref="N25:W25">_xlfn.XLOOKUP(M25,A9:A401,B9:K401,"not found",0)</f>
        <v xml:space="preserve">School Psychologist </v>
      </c>
      <c r="O25" s="2" t="str">
        <v>5 years</v>
      </c>
      <c r="P25" s="2" t="str">
        <v>Rent</v>
      </c>
      <c r="Q25" s="2">
        <v>90000</v>
      </c>
      <c r="R25" s="2" t="str">
        <v>none</v>
      </c>
      <c r="S25" s="2" t="str">
        <v>Verified</v>
      </c>
      <c r="T25" s="2" t="str">
        <v>109xx</v>
      </c>
      <c r="U25" s="2" t="str">
        <v>NY</v>
      </c>
      <c r="V25" s="2">
        <v>11132</v>
      </c>
      <c r="W25" s="2">
        <v>144718</v>
      </c>
    </row>
    <row r="26" spans="1:23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4" t="s">
        <v>22</v>
      </c>
      <c r="H26" s="11" t="s">
        <v>34</v>
      </c>
      <c r="I26" s="11" t="s">
        <v>35</v>
      </c>
      <c r="J26" s="2">
        <v>5861</v>
      </c>
      <c r="K26" s="2">
        <v>111366</v>
      </c>
      <c r="M26" s="2" t="s">
        <v>143</v>
      </c>
      <c r="N26" s="2" t="str" cm="1">
        <f t="array" ref="N26:W26">_xlfn.XLOOKUP(M26,A10:A402,B10:K402,"not found",0)</f>
        <v>Teacher</v>
      </c>
      <c r="O26" s="2" t="str">
        <v>5 years</v>
      </c>
      <c r="P26" s="2" t="str">
        <v>Mortgage</v>
      </c>
      <c r="Q26" s="2">
        <v>96000</v>
      </c>
      <c r="R26" s="2" t="str">
        <v>none</v>
      </c>
      <c r="S26" s="2" t="str">
        <v>Not Verified</v>
      </c>
      <c r="T26" s="2" t="str">
        <v>109xx</v>
      </c>
      <c r="U26" s="2" t="str">
        <v>NY</v>
      </c>
      <c r="V26" s="2">
        <v>54834</v>
      </c>
      <c r="W26" s="2">
        <v>383838</v>
      </c>
    </row>
    <row r="27" spans="1:23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4" t="s">
        <v>20</v>
      </c>
      <c r="H27" s="11" t="s">
        <v>34</v>
      </c>
      <c r="I27" s="11" t="s">
        <v>35</v>
      </c>
      <c r="J27" s="2">
        <v>4791</v>
      </c>
      <c r="K27" s="2">
        <v>28747</v>
      </c>
    </row>
    <row r="28" spans="1:23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4" t="s">
        <v>15</v>
      </c>
      <c r="H28" s="11" t="s">
        <v>28</v>
      </c>
      <c r="I28" s="11" t="s">
        <v>29</v>
      </c>
      <c r="J28" s="2">
        <v>1297</v>
      </c>
      <c r="K28" s="2">
        <v>20751</v>
      </c>
    </row>
    <row r="29" spans="1:23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4" t="s">
        <v>22</v>
      </c>
      <c r="H29" s="11" t="s">
        <v>34</v>
      </c>
      <c r="I29" s="11" t="s">
        <v>35</v>
      </c>
      <c r="J29" s="2">
        <v>10787</v>
      </c>
      <c r="K29" s="2">
        <v>204961</v>
      </c>
    </row>
    <row r="30" spans="1:23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4" t="s">
        <v>15</v>
      </c>
      <c r="H30" s="11" t="s">
        <v>34</v>
      </c>
      <c r="I30" s="11" t="s">
        <v>35</v>
      </c>
      <c r="J30" s="2">
        <v>5000</v>
      </c>
      <c r="K30" s="2">
        <v>40001</v>
      </c>
    </row>
    <row r="31" spans="1:23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4" t="s">
        <v>22</v>
      </c>
      <c r="H31" s="11" t="s">
        <v>34</v>
      </c>
      <c r="I31" s="11" t="s">
        <v>35</v>
      </c>
      <c r="J31" s="2">
        <v>2141</v>
      </c>
      <c r="K31" s="2">
        <v>8562</v>
      </c>
    </row>
    <row r="32" spans="1:23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4" t="s">
        <v>15</v>
      </c>
      <c r="H32" s="11" t="s">
        <v>34</v>
      </c>
      <c r="I32" s="11" t="s">
        <v>35</v>
      </c>
      <c r="J32" s="2">
        <v>4095</v>
      </c>
      <c r="K32" s="2">
        <v>8189</v>
      </c>
    </row>
    <row r="33" spans="1:23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4" t="s">
        <v>20</v>
      </c>
      <c r="H33" s="11" t="s">
        <v>34</v>
      </c>
      <c r="I33" s="11" t="s">
        <v>35</v>
      </c>
      <c r="J33" s="2">
        <v>9618</v>
      </c>
      <c r="K33" s="2">
        <v>134654</v>
      </c>
      <c r="M33" s="1" t="s">
        <v>0</v>
      </c>
      <c r="N33" s="1" t="s">
        <v>1</v>
      </c>
      <c r="O33" s="1" t="s">
        <v>2</v>
      </c>
      <c r="P33" s="1" t="s">
        <v>3</v>
      </c>
      <c r="Q33" s="1" t="s">
        <v>4</v>
      </c>
      <c r="R33" s="3" t="s">
        <v>5</v>
      </c>
      <c r="S33" s="1" t="s">
        <v>6</v>
      </c>
      <c r="T33" s="10" t="s">
        <v>7</v>
      </c>
      <c r="U33" s="10" t="s">
        <v>8</v>
      </c>
      <c r="V33" s="1" t="s">
        <v>9</v>
      </c>
      <c r="W33" s="1" t="s">
        <v>10</v>
      </c>
    </row>
    <row r="34" spans="1:23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4" t="s">
        <v>22</v>
      </c>
      <c r="H34" s="11" t="s">
        <v>34</v>
      </c>
      <c r="I34" s="11" t="s">
        <v>35</v>
      </c>
      <c r="J34" s="2">
        <v>3398</v>
      </c>
      <c r="K34" s="2">
        <v>20389</v>
      </c>
      <c r="M34" s="13" t="s">
        <v>11</v>
      </c>
      <c r="N34" t="str" cm="1">
        <f t="array" ref="N34:W34">_xlfn.XLOOKUP(M34,A2:A394,B2:K394,,0)</f>
        <v>None</v>
      </c>
      <c r="O34" t="str">
        <v>none</v>
      </c>
      <c r="P34" t="str">
        <v>Rent</v>
      </c>
      <c r="Q34">
        <v>25000</v>
      </c>
      <c r="R34" t="str">
        <v>none</v>
      </c>
      <c r="S34" t="str">
        <v>Verified</v>
      </c>
      <c r="T34" t="str">
        <v>010xx</v>
      </c>
      <c r="U34" t="str">
        <v>MA</v>
      </c>
      <c r="V34">
        <v>6864</v>
      </c>
      <c r="W34">
        <v>34322</v>
      </c>
    </row>
    <row r="35" spans="1:23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4" t="s">
        <v>15</v>
      </c>
      <c r="H35" s="11" t="s">
        <v>34</v>
      </c>
      <c r="I35" s="11" t="s">
        <v>35</v>
      </c>
      <c r="J35" s="2">
        <v>41888</v>
      </c>
      <c r="K35" s="2">
        <v>335106</v>
      </c>
      <c r="M35" t="s">
        <v>18</v>
      </c>
      <c r="N35" t="str" cm="1">
        <f t="array" ref="N35:W35">_xlfn.XLOOKUP(M35,A3:A395,B3:K395,,0)</f>
        <v>None</v>
      </c>
      <c r="O35" t="str">
        <v>none</v>
      </c>
      <c r="P35" t="str">
        <v>Mortgage</v>
      </c>
      <c r="Q35">
        <v>185000</v>
      </c>
      <c r="R35" t="str">
        <v>none</v>
      </c>
      <c r="S35" t="str">
        <v>Not Verified</v>
      </c>
      <c r="T35" t="str">
        <v>010xx</v>
      </c>
      <c r="U35" t="str">
        <v>MA</v>
      </c>
      <c r="V35">
        <v>7930</v>
      </c>
      <c r="W35">
        <v>150674</v>
      </c>
    </row>
    <row r="36" spans="1:23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4" t="s">
        <v>22</v>
      </c>
      <c r="H36" s="11" t="s">
        <v>90</v>
      </c>
      <c r="I36" s="11" t="s">
        <v>35</v>
      </c>
      <c r="J36" s="2">
        <v>1741</v>
      </c>
      <c r="K36" s="2">
        <v>15673</v>
      </c>
      <c r="M36" t="s">
        <v>155</v>
      </c>
      <c r="N36" t="str" cm="1">
        <f t="array" ref="N36:W36">_xlfn.XLOOKUP(M36,A4:A396,B4:K396,,0)</f>
        <v>It Manager</v>
      </c>
      <c r="O36" t="str">
        <v>5 years</v>
      </c>
      <c r="P36" t="str">
        <v>Rent</v>
      </c>
      <c r="Q36">
        <v>82000</v>
      </c>
      <c r="R36" t="str">
        <v>none</v>
      </c>
      <c r="S36" t="str">
        <v>Not Verified</v>
      </c>
      <c r="T36" t="str">
        <v>109xx</v>
      </c>
      <c r="U36" t="str">
        <v>NY</v>
      </c>
      <c r="V36">
        <v>851</v>
      </c>
      <c r="W36">
        <v>10215</v>
      </c>
    </row>
    <row r="37" spans="1:23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4" t="s">
        <v>22</v>
      </c>
      <c r="H37" s="11" t="s">
        <v>90</v>
      </c>
      <c r="I37" s="11" t="s">
        <v>35</v>
      </c>
      <c r="J37" s="2">
        <v>2975</v>
      </c>
      <c r="K37" s="2">
        <v>20828</v>
      </c>
      <c r="M37" t="s">
        <v>557</v>
      </c>
      <c r="N37" t="str" cm="1">
        <f t="array" ref="N37:W37">_xlfn.XLOOKUP(M37,A5:A397,B5:K397,,0)</f>
        <v>Director</v>
      </c>
      <c r="O37" t="str">
        <v>5 years</v>
      </c>
      <c r="P37" t="str">
        <v>Rent</v>
      </c>
      <c r="Q37">
        <v>275000</v>
      </c>
      <c r="R37" t="str">
        <v>none</v>
      </c>
      <c r="S37" t="str">
        <v>Verified</v>
      </c>
      <c r="T37" t="str">
        <v>112xx</v>
      </c>
      <c r="U37" t="str">
        <v>NY</v>
      </c>
      <c r="V37">
        <v>6379</v>
      </c>
      <c r="W37">
        <v>70168</v>
      </c>
    </row>
    <row r="38" spans="1:23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4" t="s">
        <v>22</v>
      </c>
      <c r="H38" s="11" t="s">
        <v>90</v>
      </c>
      <c r="I38" s="11" t="s">
        <v>35</v>
      </c>
      <c r="J38" s="2">
        <v>3337</v>
      </c>
      <c r="K38" s="2">
        <v>20021</v>
      </c>
      <c r="M38" t="s">
        <v>98</v>
      </c>
      <c r="N38" t="str" cm="1">
        <f t="array" ref="N38:W38">_xlfn.XLOOKUP(M38,A6:A398,B6:K398,,0)</f>
        <v>Dental Hygiene</v>
      </c>
      <c r="O38" t="str">
        <v>5 years</v>
      </c>
      <c r="P38" t="str">
        <v>Rent</v>
      </c>
      <c r="Q38">
        <v>96000</v>
      </c>
      <c r="R38" t="str">
        <v>none</v>
      </c>
      <c r="S38" t="str">
        <v>Not Verified</v>
      </c>
      <c r="T38" t="str">
        <v>108xx</v>
      </c>
      <c r="U38" t="str">
        <v>NY</v>
      </c>
      <c r="V38">
        <v>41983</v>
      </c>
      <c r="W38">
        <v>251895</v>
      </c>
    </row>
    <row r="39" spans="1:23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13</v>
      </c>
      <c r="G39" s="4" t="s">
        <v>15</v>
      </c>
      <c r="H39" s="11" t="s">
        <v>28</v>
      </c>
      <c r="I39" s="11" t="s">
        <v>29</v>
      </c>
      <c r="J39" s="2">
        <v>11996</v>
      </c>
      <c r="K39" s="2">
        <v>71976</v>
      </c>
    </row>
    <row r="40" spans="1:23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4" t="s">
        <v>20</v>
      </c>
      <c r="H40" s="11" t="s">
        <v>90</v>
      </c>
      <c r="I40" s="11" t="s">
        <v>35</v>
      </c>
      <c r="J40" s="2">
        <v>1763</v>
      </c>
      <c r="K40" s="2">
        <v>14107</v>
      </c>
      <c r="N40" t="str" cm="1">
        <f t="array" ref="N40">_xlfn.XLOOKUP(M40,A2:A33,B2:K33,"")</f>
        <v/>
      </c>
    </row>
    <row r="41" spans="1:23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4" t="s">
        <v>20</v>
      </c>
      <c r="H41" s="11" t="s">
        <v>90</v>
      </c>
      <c r="I41" s="11" t="s">
        <v>35</v>
      </c>
      <c r="J41" s="2">
        <v>41983</v>
      </c>
      <c r="K41" s="2">
        <v>251895</v>
      </c>
      <c r="R41" s="20"/>
    </row>
    <row r="42" spans="1:23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4" t="s">
        <v>22</v>
      </c>
      <c r="H42" s="11" t="s">
        <v>90</v>
      </c>
      <c r="I42" s="11" t="s">
        <v>35</v>
      </c>
      <c r="J42" s="2">
        <v>2009</v>
      </c>
      <c r="K42" s="2">
        <v>18082</v>
      </c>
    </row>
    <row r="43" spans="1:23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4" t="s">
        <v>20</v>
      </c>
      <c r="H43" s="11" t="s">
        <v>90</v>
      </c>
      <c r="I43" s="11" t="s">
        <v>35</v>
      </c>
      <c r="J43" s="2">
        <v>1767</v>
      </c>
      <c r="K43" s="2">
        <v>21200</v>
      </c>
    </row>
    <row r="44" spans="1:23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4" t="s">
        <v>22</v>
      </c>
      <c r="H44" s="11" t="s">
        <v>106</v>
      </c>
      <c r="I44" s="11" t="s">
        <v>35</v>
      </c>
      <c r="J44" s="2">
        <v>4226</v>
      </c>
      <c r="K44" s="2">
        <v>80289</v>
      </c>
      <c r="N44" s="19" t="s">
        <v>15</v>
      </c>
      <c r="O44" s="16" t="s">
        <v>20</v>
      </c>
      <c r="P44" s="16" t="s">
        <v>22</v>
      </c>
    </row>
    <row r="45" spans="1:23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4" t="s">
        <v>20</v>
      </c>
      <c r="H45" s="11" t="s">
        <v>106</v>
      </c>
      <c r="I45" s="11" t="s">
        <v>109</v>
      </c>
      <c r="J45" s="2">
        <v>28764</v>
      </c>
      <c r="K45" s="2">
        <v>230115</v>
      </c>
      <c r="N45" s="17" cm="1">
        <f t="array" ref="N45:P45">COUNTIF(G2:G394,N44:P44)</f>
        <v>91</v>
      </c>
      <c r="O45" s="17">
        <v>138</v>
      </c>
      <c r="P45" s="17">
        <v>164</v>
      </c>
    </row>
    <row r="46" spans="1:23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4" t="s">
        <v>15</v>
      </c>
      <c r="H46" s="11" t="s">
        <v>106</v>
      </c>
      <c r="I46" s="11" t="s">
        <v>35</v>
      </c>
      <c r="J46" s="2">
        <v>2227</v>
      </c>
      <c r="K46" s="2">
        <v>31172</v>
      </c>
    </row>
    <row r="47" spans="1:23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4" t="s">
        <v>22</v>
      </c>
      <c r="H47" s="11" t="s">
        <v>106</v>
      </c>
      <c r="I47" s="11" t="s">
        <v>35</v>
      </c>
      <c r="J47" s="2">
        <v>25517</v>
      </c>
      <c r="K47" s="2">
        <v>229656</v>
      </c>
    </row>
    <row r="48" spans="1:23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4" t="s">
        <v>20</v>
      </c>
      <c r="H48" s="11" t="s">
        <v>106</v>
      </c>
      <c r="I48" s="11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4" t="s">
        <v>22</v>
      </c>
      <c r="H49" s="11" t="s">
        <v>106</v>
      </c>
      <c r="I49" s="11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4" t="s">
        <v>20</v>
      </c>
      <c r="H50" s="11" t="s">
        <v>28</v>
      </c>
      <c r="I50" s="11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745</v>
      </c>
      <c r="G51" s="4" t="s">
        <v>20</v>
      </c>
      <c r="H51" s="11" t="s">
        <v>106</v>
      </c>
      <c r="I51" s="11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4" t="s">
        <v>15</v>
      </c>
      <c r="H52" s="11" t="s">
        <v>106</v>
      </c>
      <c r="I52" s="11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4" t="s">
        <v>22</v>
      </c>
      <c r="H53" s="11" t="s">
        <v>106</v>
      </c>
      <c r="I53" s="11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4" t="s">
        <v>22</v>
      </c>
      <c r="H54" s="11" t="s">
        <v>106</v>
      </c>
      <c r="I54" s="11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4" t="s">
        <v>22</v>
      </c>
      <c r="H55" s="11" t="s">
        <v>106</v>
      </c>
      <c r="I55" s="11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4" t="s">
        <v>22</v>
      </c>
      <c r="H56" s="11" t="s">
        <v>106</v>
      </c>
      <c r="I56" s="11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4" t="s">
        <v>22</v>
      </c>
      <c r="H57" s="11" t="s">
        <v>106</v>
      </c>
      <c r="I57" s="11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4" t="s">
        <v>20</v>
      </c>
      <c r="H58" s="11" t="s">
        <v>106</v>
      </c>
      <c r="I58" s="11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4" t="s">
        <v>20</v>
      </c>
      <c r="H59" s="11" t="s">
        <v>106</v>
      </c>
      <c r="I59" s="11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4" t="s">
        <v>20</v>
      </c>
      <c r="H60" s="11" t="s">
        <v>106</v>
      </c>
      <c r="I60" s="11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4" t="s">
        <v>15</v>
      </c>
      <c r="H61" s="11" t="s">
        <v>28</v>
      </c>
      <c r="I61" s="11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4" t="s">
        <v>22</v>
      </c>
      <c r="H62" s="11" t="s">
        <v>106</v>
      </c>
      <c r="I62" s="11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4" t="s">
        <v>15</v>
      </c>
      <c r="H63" s="11" t="s">
        <v>106</v>
      </c>
      <c r="I63" s="11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4" t="s">
        <v>20</v>
      </c>
      <c r="H64" s="11" t="s">
        <v>106</v>
      </c>
      <c r="I64" s="11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4" t="s">
        <v>22</v>
      </c>
      <c r="H65" s="11" t="s">
        <v>106</v>
      </c>
      <c r="I65" s="11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4" t="s">
        <v>20</v>
      </c>
      <c r="H66" s="11" t="s">
        <v>106</v>
      </c>
      <c r="I66" s="11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4" t="s">
        <v>20</v>
      </c>
      <c r="H67" s="11" t="s">
        <v>106</v>
      </c>
      <c r="I67" s="11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4" t="s">
        <v>22</v>
      </c>
      <c r="H68" s="11" t="s">
        <v>106</v>
      </c>
      <c r="I68" s="11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4" t="s">
        <v>20</v>
      </c>
      <c r="H69" s="11" t="s">
        <v>106</v>
      </c>
      <c r="I69" s="11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4" t="s">
        <v>22</v>
      </c>
      <c r="H70" s="11" t="s">
        <v>106</v>
      </c>
      <c r="I70" s="11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4" t="s">
        <v>20</v>
      </c>
      <c r="H71" s="11" t="s">
        <v>106</v>
      </c>
      <c r="I71" s="11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4" t="s">
        <v>20</v>
      </c>
      <c r="H72" s="11" t="s">
        <v>28</v>
      </c>
      <c r="I72" s="11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4" t="s">
        <v>15</v>
      </c>
      <c r="H73" s="11" t="s">
        <v>106</v>
      </c>
      <c r="I73" s="11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4" t="s">
        <v>22</v>
      </c>
      <c r="H74" s="11" t="s">
        <v>106</v>
      </c>
      <c r="I74" s="11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4" t="s">
        <v>20</v>
      </c>
      <c r="H75" s="11" t="s">
        <v>106</v>
      </c>
      <c r="I75" s="11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4" t="s">
        <v>22</v>
      </c>
      <c r="H76" s="11" t="s">
        <v>106</v>
      </c>
      <c r="I76" s="11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4" t="s">
        <v>15</v>
      </c>
      <c r="H77" s="11" t="s">
        <v>106</v>
      </c>
      <c r="I77" s="11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4" t="s">
        <v>22</v>
      </c>
      <c r="H78" s="11" t="s">
        <v>106</v>
      </c>
      <c r="I78" s="11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720</v>
      </c>
      <c r="G79" s="4" t="s">
        <v>15</v>
      </c>
      <c r="H79" s="11" t="s">
        <v>106</v>
      </c>
      <c r="I79" s="11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4" t="s">
        <v>22</v>
      </c>
      <c r="H80" s="11" t="s">
        <v>106</v>
      </c>
      <c r="I80" s="11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4" t="s">
        <v>20</v>
      </c>
      <c r="H81" s="11" t="s">
        <v>106</v>
      </c>
      <c r="I81" s="11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4" t="s">
        <v>20</v>
      </c>
      <c r="H82" s="11" t="s">
        <v>106</v>
      </c>
      <c r="I82" s="11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721</v>
      </c>
      <c r="G83" s="4" t="s">
        <v>20</v>
      </c>
      <c r="H83" s="11" t="s">
        <v>28</v>
      </c>
      <c r="I83" s="11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4" t="s">
        <v>20</v>
      </c>
      <c r="H84" s="11" t="s">
        <v>106</v>
      </c>
      <c r="I84" s="11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4" t="s">
        <v>20</v>
      </c>
      <c r="H85" s="11" t="s">
        <v>106</v>
      </c>
      <c r="I85" s="11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4" t="s">
        <v>22</v>
      </c>
      <c r="H86" s="11" t="s">
        <v>106</v>
      </c>
      <c r="I86" s="11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4" t="s">
        <v>15</v>
      </c>
      <c r="H87" s="11" t="s">
        <v>185</v>
      </c>
      <c r="I87" s="11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4" t="s">
        <v>22</v>
      </c>
      <c r="H88" s="11" t="s">
        <v>185</v>
      </c>
      <c r="I88" s="11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722</v>
      </c>
      <c r="G89" s="4" t="s">
        <v>20</v>
      </c>
      <c r="H89" s="11" t="s">
        <v>185</v>
      </c>
      <c r="I89" s="11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4" t="s">
        <v>22</v>
      </c>
      <c r="H90" s="11" t="s">
        <v>185</v>
      </c>
      <c r="I90" s="11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4" t="s">
        <v>20</v>
      </c>
      <c r="H91" s="11" t="s">
        <v>185</v>
      </c>
      <c r="I91" s="11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4" t="s">
        <v>22</v>
      </c>
      <c r="H92" s="11" t="s">
        <v>185</v>
      </c>
      <c r="I92" s="11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4" t="s">
        <v>22</v>
      </c>
      <c r="H93" s="11" t="s">
        <v>185</v>
      </c>
      <c r="I93" s="11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4" t="s">
        <v>22</v>
      </c>
      <c r="H94" s="11" t="s">
        <v>28</v>
      </c>
      <c r="I94" s="11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4" t="s">
        <v>22</v>
      </c>
      <c r="H95" s="11" t="s">
        <v>185</v>
      </c>
      <c r="I95" s="11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4" t="s">
        <v>15</v>
      </c>
      <c r="H96" s="11" t="s">
        <v>185</v>
      </c>
      <c r="I96" s="11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4" t="s">
        <v>22</v>
      </c>
      <c r="H97" s="11" t="s">
        <v>185</v>
      </c>
      <c r="I97" s="11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4" t="s">
        <v>22</v>
      </c>
      <c r="H98" s="11" t="s">
        <v>185</v>
      </c>
      <c r="I98" s="11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4" t="s">
        <v>20</v>
      </c>
      <c r="H99" s="11" t="s">
        <v>185</v>
      </c>
      <c r="I99" s="11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723</v>
      </c>
      <c r="G100" s="4" t="s">
        <v>22</v>
      </c>
      <c r="H100" s="11" t="s">
        <v>185</v>
      </c>
      <c r="I100" s="11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4" t="s">
        <v>22</v>
      </c>
      <c r="H101" s="11" t="s">
        <v>185</v>
      </c>
      <c r="I101" s="11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4" t="s">
        <v>22</v>
      </c>
      <c r="H102" s="11" t="s">
        <v>213</v>
      </c>
      <c r="I102" s="11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4" t="s">
        <v>22</v>
      </c>
      <c r="H103" s="11" t="s">
        <v>213</v>
      </c>
      <c r="I103" s="11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4" t="s">
        <v>15</v>
      </c>
      <c r="H104" s="11" t="s">
        <v>213</v>
      </c>
      <c r="I104" s="11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724</v>
      </c>
      <c r="G105" s="4" t="s">
        <v>15</v>
      </c>
      <c r="H105" s="11" t="s">
        <v>28</v>
      </c>
      <c r="I105" s="11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4" t="s">
        <v>22</v>
      </c>
      <c r="H106" s="11" t="s">
        <v>213</v>
      </c>
      <c r="I106" s="11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4" t="s">
        <v>22</v>
      </c>
      <c r="H107" s="11" t="s">
        <v>213</v>
      </c>
      <c r="I107" s="11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4" t="s">
        <v>22</v>
      </c>
      <c r="H108" s="11" t="s">
        <v>213</v>
      </c>
      <c r="I108" s="11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4" t="s">
        <v>22</v>
      </c>
      <c r="H109" s="11" t="s">
        <v>213</v>
      </c>
      <c r="I109" s="11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4" t="s">
        <v>22</v>
      </c>
      <c r="H110" s="11" t="s">
        <v>213</v>
      </c>
      <c r="I110" s="11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4" t="s">
        <v>22</v>
      </c>
      <c r="H111" s="11" t="s">
        <v>213</v>
      </c>
      <c r="I111" s="11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4" t="s">
        <v>22</v>
      </c>
      <c r="H112" s="11" t="s">
        <v>213</v>
      </c>
      <c r="I112" s="11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4" t="s">
        <v>22</v>
      </c>
      <c r="H113" s="11" t="s">
        <v>213</v>
      </c>
      <c r="I113" s="11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4" t="s">
        <v>22</v>
      </c>
      <c r="H114" s="11" t="s">
        <v>213</v>
      </c>
      <c r="I114" s="11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4" t="s">
        <v>20</v>
      </c>
      <c r="H115" s="11" t="s">
        <v>213</v>
      </c>
      <c r="I115" s="11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725</v>
      </c>
      <c r="G116" s="4" t="s">
        <v>22</v>
      </c>
      <c r="H116" s="11" t="s">
        <v>25</v>
      </c>
      <c r="I116" s="11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4" t="s">
        <v>20</v>
      </c>
      <c r="H117" s="11" t="s">
        <v>28</v>
      </c>
      <c r="I117" s="11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4" t="s">
        <v>22</v>
      </c>
      <c r="H118" s="11" t="s">
        <v>213</v>
      </c>
      <c r="I118" s="11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4" t="s">
        <v>15</v>
      </c>
      <c r="H119" s="11" t="s">
        <v>213</v>
      </c>
      <c r="I119" s="11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4" t="s">
        <v>22</v>
      </c>
      <c r="H120" s="11" t="s">
        <v>213</v>
      </c>
      <c r="I120" s="11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4" t="s">
        <v>20</v>
      </c>
      <c r="H121" s="11" t="s">
        <v>213</v>
      </c>
      <c r="I121" s="11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4" t="s">
        <v>22</v>
      </c>
      <c r="H122" s="11" t="s">
        <v>213</v>
      </c>
      <c r="I122" s="11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4" t="s">
        <v>15</v>
      </c>
      <c r="H123" s="11" t="s">
        <v>213</v>
      </c>
      <c r="I123" s="11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4" t="s">
        <v>22</v>
      </c>
      <c r="H124" s="11" t="s">
        <v>213</v>
      </c>
      <c r="I124" s="11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4" t="s">
        <v>22</v>
      </c>
      <c r="H125" s="11" t="s">
        <v>213</v>
      </c>
      <c r="I125" s="11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4" t="s">
        <v>22</v>
      </c>
      <c r="H126" s="11" t="s">
        <v>213</v>
      </c>
      <c r="I126" s="11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4" t="s">
        <v>15</v>
      </c>
      <c r="H127" s="11" t="s">
        <v>213</v>
      </c>
      <c r="I127" s="11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4" t="s">
        <v>15</v>
      </c>
      <c r="H128" s="11" t="s">
        <v>28</v>
      </c>
      <c r="I128" s="11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4" t="s">
        <v>20</v>
      </c>
      <c r="H129" s="11" t="s">
        <v>213</v>
      </c>
      <c r="I129" s="11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4" t="s">
        <v>22</v>
      </c>
      <c r="H130" s="11" t="s">
        <v>213</v>
      </c>
      <c r="I130" s="11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4" t="s">
        <v>22</v>
      </c>
      <c r="H131" s="11" t="s">
        <v>213</v>
      </c>
      <c r="I131" s="11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4" t="s">
        <v>20</v>
      </c>
      <c r="H132" s="11" t="s">
        <v>213</v>
      </c>
      <c r="I132" s="11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4" t="s">
        <v>20</v>
      </c>
      <c r="H133" s="11" t="s">
        <v>213</v>
      </c>
      <c r="I133" s="11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726</v>
      </c>
      <c r="G134" s="4" t="s">
        <v>20</v>
      </c>
      <c r="H134" s="11" t="s">
        <v>213</v>
      </c>
      <c r="I134" s="11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4" t="s">
        <v>20</v>
      </c>
      <c r="H135" s="11" t="s">
        <v>213</v>
      </c>
      <c r="I135" s="11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4" t="s">
        <v>20</v>
      </c>
      <c r="H136" s="11" t="s">
        <v>213</v>
      </c>
      <c r="I136" s="11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4" t="s">
        <v>20</v>
      </c>
      <c r="H137" s="11" t="s">
        <v>213</v>
      </c>
      <c r="I137" s="11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4" t="s">
        <v>22</v>
      </c>
      <c r="H138" s="11" t="s">
        <v>213</v>
      </c>
      <c r="I138" s="11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4" t="s">
        <v>15</v>
      </c>
      <c r="H139" s="11" t="s">
        <v>28</v>
      </c>
      <c r="I139" s="11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4" t="s">
        <v>15</v>
      </c>
      <c r="H140" s="11" t="s">
        <v>213</v>
      </c>
      <c r="I140" s="11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4" t="s">
        <v>20</v>
      </c>
      <c r="H141" s="11" t="s">
        <v>213</v>
      </c>
      <c r="I141" s="11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4" t="s">
        <v>15</v>
      </c>
      <c r="H142" s="11" t="s">
        <v>213</v>
      </c>
      <c r="I142" s="11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4" t="s">
        <v>15</v>
      </c>
      <c r="H143" s="11" t="s">
        <v>213</v>
      </c>
      <c r="I143" s="11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4" t="s">
        <v>22</v>
      </c>
      <c r="H144" s="11" t="s">
        <v>289</v>
      </c>
      <c r="I144" s="11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4" t="s">
        <v>22</v>
      </c>
      <c r="H145" s="11" t="s">
        <v>289</v>
      </c>
      <c r="I145" s="11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4" t="s">
        <v>22</v>
      </c>
      <c r="H146" s="11" t="s">
        <v>289</v>
      </c>
      <c r="I146" s="11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4" t="s">
        <v>20</v>
      </c>
      <c r="H147" s="11" t="s">
        <v>289</v>
      </c>
      <c r="I147" s="11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4" t="s">
        <v>20</v>
      </c>
      <c r="H148" s="11" t="s">
        <v>289</v>
      </c>
      <c r="I148" s="11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4" t="s">
        <v>22</v>
      </c>
      <c r="H149" s="11" t="s">
        <v>289</v>
      </c>
      <c r="I149" s="11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4" t="s">
        <v>15</v>
      </c>
      <c r="H150" s="11" t="s">
        <v>28</v>
      </c>
      <c r="I150" s="11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4" t="s">
        <v>20</v>
      </c>
      <c r="H151" s="11" t="s">
        <v>289</v>
      </c>
      <c r="I151" s="11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4" t="s">
        <v>20</v>
      </c>
      <c r="H152" s="11" t="s">
        <v>289</v>
      </c>
      <c r="I152" s="11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4" t="s">
        <v>22</v>
      </c>
      <c r="H153" s="11" t="s">
        <v>289</v>
      </c>
      <c r="I153" s="11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4" t="s">
        <v>15</v>
      </c>
      <c r="H154" s="11" t="s">
        <v>289</v>
      </c>
      <c r="I154" s="11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4" t="s">
        <v>20</v>
      </c>
      <c r="H155" s="11" t="s">
        <v>289</v>
      </c>
      <c r="I155" s="11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4" t="s">
        <v>15</v>
      </c>
      <c r="H156" s="11" t="s">
        <v>289</v>
      </c>
      <c r="I156" s="11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4" t="s">
        <v>20</v>
      </c>
      <c r="H157" s="11" t="s">
        <v>289</v>
      </c>
      <c r="I157" s="11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4" t="s">
        <v>22</v>
      </c>
      <c r="H158" s="11" t="s">
        <v>289</v>
      </c>
      <c r="I158" s="11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4" t="s">
        <v>15</v>
      </c>
      <c r="H159" s="11" t="s">
        <v>289</v>
      </c>
      <c r="I159" s="11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4" t="s">
        <v>20</v>
      </c>
      <c r="H160" s="11" t="s">
        <v>289</v>
      </c>
      <c r="I160" s="11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4" t="s">
        <v>15</v>
      </c>
      <c r="H161" s="11" t="s">
        <v>28</v>
      </c>
      <c r="I161" s="11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4" t="s">
        <v>15</v>
      </c>
      <c r="H162" s="11" t="s">
        <v>289</v>
      </c>
      <c r="I162" s="11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4" t="s">
        <v>15</v>
      </c>
      <c r="H163" s="11" t="s">
        <v>289</v>
      </c>
      <c r="I163" s="11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4" t="s">
        <v>15</v>
      </c>
      <c r="H164" s="11" t="s">
        <v>289</v>
      </c>
      <c r="I164" s="11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4" t="s">
        <v>15</v>
      </c>
      <c r="H165" s="11" t="s">
        <v>289</v>
      </c>
      <c r="I165" s="11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4" t="s">
        <v>15</v>
      </c>
      <c r="H166" s="11" t="s">
        <v>289</v>
      </c>
      <c r="I166" s="11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4" t="s">
        <v>22</v>
      </c>
      <c r="H167" s="11" t="s">
        <v>289</v>
      </c>
      <c r="I167" s="11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4" t="s">
        <v>15</v>
      </c>
      <c r="H168" s="11" t="s">
        <v>289</v>
      </c>
      <c r="I168" s="11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4" t="s">
        <v>20</v>
      </c>
      <c r="H169" s="11" t="s">
        <v>289</v>
      </c>
      <c r="I169" s="11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4" t="s">
        <v>22</v>
      </c>
      <c r="H170" s="11" t="s">
        <v>289</v>
      </c>
      <c r="I170" s="11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4" t="s">
        <v>22</v>
      </c>
      <c r="H171" s="11" t="s">
        <v>289</v>
      </c>
      <c r="I171" s="11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4" t="s">
        <v>20</v>
      </c>
      <c r="H172" s="11" t="s">
        <v>28</v>
      </c>
      <c r="I172" s="11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4" t="s">
        <v>20</v>
      </c>
      <c r="H173" s="11" t="s">
        <v>289</v>
      </c>
      <c r="I173" s="11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4" t="s">
        <v>22</v>
      </c>
      <c r="H174" s="11" t="s">
        <v>289</v>
      </c>
      <c r="I174" s="11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4" t="s">
        <v>15</v>
      </c>
      <c r="H175" s="11" t="s">
        <v>289</v>
      </c>
      <c r="I175" s="11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4" t="s">
        <v>20</v>
      </c>
      <c r="H176" s="11" t="s">
        <v>289</v>
      </c>
      <c r="I176" s="11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4" t="s">
        <v>20</v>
      </c>
      <c r="H177" s="11" t="s">
        <v>289</v>
      </c>
      <c r="I177" s="11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4" t="s">
        <v>22</v>
      </c>
      <c r="H178" s="11" t="s">
        <v>289</v>
      </c>
      <c r="I178" s="11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4" t="s">
        <v>22</v>
      </c>
      <c r="H179" s="11" t="s">
        <v>289</v>
      </c>
      <c r="I179" s="11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4" t="s">
        <v>20</v>
      </c>
      <c r="H180" s="11" t="s">
        <v>289</v>
      </c>
      <c r="I180" s="11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4" t="s">
        <v>15</v>
      </c>
      <c r="H181" s="11" t="s">
        <v>289</v>
      </c>
      <c r="I181" s="11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4" t="s">
        <v>22</v>
      </c>
      <c r="H182" s="11" t="s">
        <v>289</v>
      </c>
      <c r="I182" s="11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4" t="s">
        <v>20</v>
      </c>
      <c r="H183" s="11" t="s">
        <v>28</v>
      </c>
      <c r="I183" s="11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4" t="s">
        <v>22</v>
      </c>
      <c r="H184" s="11" t="s">
        <v>289</v>
      </c>
      <c r="I184" s="11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4" t="s">
        <v>22</v>
      </c>
      <c r="H185" s="11" t="s">
        <v>289</v>
      </c>
      <c r="I185" s="11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4" t="s">
        <v>22</v>
      </c>
      <c r="H186" s="11" t="s">
        <v>289</v>
      </c>
      <c r="I186" s="11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4" t="s">
        <v>22</v>
      </c>
      <c r="H187" s="11" t="s">
        <v>289</v>
      </c>
      <c r="I187" s="11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4" t="s">
        <v>22</v>
      </c>
      <c r="H188" s="11" t="s">
        <v>289</v>
      </c>
      <c r="I188" s="11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4" t="s">
        <v>22</v>
      </c>
      <c r="H189" s="11" t="s">
        <v>289</v>
      </c>
      <c r="I189" s="11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4" t="s">
        <v>22</v>
      </c>
      <c r="H190" s="11" t="s">
        <v>289</v>
      </c>
      <c r="I190" s="11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4" t="s">
        <v>22</v>
      </c>
      <c r="H191" s="11" t="s">
        <v>289</v>
      </c>
      <c r="I191" s="11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4" t="s">
        <v>15</v>
      </c>
      <c r="H192" s="11" t="s">
        <v>289</v>
      </c>
      <c r="I192" s="11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4" t="s">
        <v>22</v>
      </c>
      <c r="H193" s="11" t="s">
        <v>289</v>
      </c>
      <c r="I193" s="11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4" t="s">
        <v>15</v>
      </c>
      <c r="H194" s="11" t="s">
        <v>28</v>
      </c>
      <c r="I194" s="11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4" t="s">
        <v>20</v>
      </c>
      <c r="H195" s="11" t="s">
        <v>289</v>
      </c>
      <c r="I195" s="11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4" t="s">
        <v>20</v>
      </c>
      <c r="H196" s="11" t="s">
        <v>289</v>
      </c>
      <c r="I196" s="11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4" t="s">
        <v>22</v>
      </c>
      <c r="H197" s="11" t="s">
        <v>289</v>
      </c>
      <c r="I197" s="11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4" t="s">
        <v>22</v>
      </c>
      <c r="H198" s="11" t="s">
        <v>289</v>
      </c>
      <c r="I198" s="11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4" t="s">
        <v>20</v>
      </c>
      <c r="H199" s="11" t="s">
        <v>289</v>
      </c>
      <c r="I199" s="11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4" t="s">
        <v>20</v>
      </c>
      <c r="H200" s="11" t="s">
        <v>289</v>
      </c>
      <c r="I200" s="11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4" t="s">
        <v>22</v>
      </c>
      <c r="H201" s="11" t="s">
        <v>289</v>
      </c>
      <c r="I201" s="11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4" t="s">
        <v>20</v>
      </c>
      <c r="H202" s="11" t="s">
        <v>289</v>
      </c>
      <c r="I202" s="11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4" t="s">
        <v>22</v>
      </c>
      <c r="H203" s="11" t="s">
        <v>289</v>
      </c>
      <c r="I203" s="11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4" t="s">
        <v>20</v>
      </c>
      <c r="H204" s="11" t="s">
        <v>289</v>
      </c>
      <c r="I204" s="11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4" t="s">
        <v>20</v>
      </c>
      <c r="H205" s="11" t="s">
        <v>28</v>
      </c>
      <c r="I205" s="11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4" t="s">
        <v>22</v>
      </c>
      <c r="H206" s="11" t="s">
        <v>289</v>
      </c>
      <c r="I206" s="11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4" t="s">
        <v>20</v>
      </c>
      <c r="H207" s="11" t="s">
        <v>289</v>
      </c>
      <c r="I207" s="11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4" t="s">
        <v>20</v>
      </c>
      <c r="H208" s="11" t="s">
        <v>289</v>
      </c>
      <c r="I208" s="11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4" t="s">
        <v>22</v>
      </c>
      <c r="H209" s="11" t="s">
        <v>289</v>
      </c>
      <c r="I209" s="11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4" t="s">
        <v>20</v>
      </c>
      <c r="H210" s="11" t="s">
        <v>289</v>
      </c>
      <c r="I210" s="11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4" t="s">
        <v>22</v>
      </c>
      <c r="H211" s="11" t="s">
        <v>289</v>
      </c>
      <c r="I211" s="11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4" t="s">
        <v>20</v>
      </c>
      <c r="H212" s="11" t="s">
        <v>289</v>
      </c>
      <c r="I212" s="11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4" t="s">
        <v>20</v>
      </c>
      <c r="H213" s="11" t="s">
        <v>289</v>
      </c>
      <c r="I213" s="11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4" t="s">
        <v>15</v>
      </c>
      <c r="H214" s="11" t="s">
        <v>289</v>
      </c>
      <c r="I214" s="11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4" t="s">
        <v>22</v>
      </c>
      <c r="H215" s="11" t="s">
        <v>289</v>
      </c>
      <c r="I215" s="11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4" t="s">
        <v>15</v>
      </c>
      <c r="H216" s="11" t="s">
        <v>28</v>
      </c>
      <c r="I216" s="11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4" t="s">
        <v>22</v>
      </c>
      <c r="H217" s="11" t="s">
        <v>289</v>
      </c>
      <c r="I217" s="11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4" t="s">
        <v>15</v>
      </c>
      <c r="H218" s="11" t="s">
        <v>289</v>
      </c>
      <c r="I218" s="11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4" t="s">
        <v>15</v>
      </c>
      <c r="H219" s="11" t="s">
        <v>289</v>
      </c>
      <c r="I219" s="11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4" t="s">
        <v>15</v>
      </c>
      <c r="H220" s="11" t="s">
        <v>289</v>
      </c>
      <c r="I220" s="11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4" t="s">
        <v>20</v>
      </c>
      <c r="H221" s="11" t="s">
        <v>289</v>
      </c>
      <c r="I221" s="11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4" t="s">
        <v>20</v>
      </c>
      <c r="H222" s="11" t="s">
        <v>289</v>
      </c>
      <c r="I222" s="11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727</v>
      </c>
      <c r="G223" s="4" t="s">
        <v>22</v>
      </c>
      <c r="H223" s="11" t="s">
        <v>289</v>
      </c>
      <c r="I223" s="11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4" t="s">
        <v>22</v>
      </c>
      <c r="H224" s="11" t="s">
        <v>289</v>
      </c>
      <c r="I224" s="11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4" t="s">
        <v>22</v>
      </c>
      <c r="H225" s="11" t="s">
        <v>289</v>
      </c>
      <c r="I225" s="11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4" t="s">
        <v>20</v>
      </c>
      <c r="H226" s="11" t="s">
        <v>289</v>
      </c>
      <c r="I226" s="11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4" t="s">
        <v>15</v>
      </c>
      <c r="H227" s="11" t="s">
        <v>25</v>
      </c>
      <c r="I227" s="11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4" t="s">
        <v>20</v>
      </c>
      <c r="H228" s="11" t="s">
        <v>432</v>
      </c>
      <c r="I228" s="11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746</v>
      </c>
      <c r="G229" s="4" t="s">
        <v>20</v>
      </c>
      <c r="H229" s="11" t="s">
        <v>289</v>
      </c>
      <c r="I229" s="11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4" t="s">
        <v>22</v>
      </c>
      <c r="H230" s="11" t="s">
        <v>289</v>
      </c>
      <c r="I230" s="11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4" t="s">
        <v>15</v>
      </c>
      <c r="H231" s="11" t="s">
        <v>289</v>
      </c>
      <c r="I231" s="11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4" t="s">
        <v>20</v>
      </c>
      <c r="H232" s="11" t="s">
        <v>289</v>
      </c>
      <c r="I232" s="11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4" t="s">
        <v>15</v>
      </c>
      <c r="H233" s="11" t="s">
        <v>289</v>
      </c>
      <c r="I233" s="11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4" t="s">
        <v>20</v>
      </c>
      <c r="H234" s="11" t="s">
        <v>289</v>
      </c>
      <c r="I234" s="11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4" t="s">
        <v>15</v>
      </c>
      <c r="H235" s="11" t="s">
        <v>289</v>
      </c>
      <c r="I235" s="11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4" t="s">
        <v>22</v>
      </c>
      <c r="H236" s="11" t="s">
        <v>289</v>
      </c>
      <c r="I236" s="11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728</v>
      </c>
      <c r="G237" s="4" t="s">
        <v>20</v>
      </c>
      <c r="H237" s="11" t="s">
        <v>289</v>
      </c>
      <c r="I237" s="11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4" t="s">
        <v>22</v>
      </c>
      <c r="H238" s="11" t="s">
        <v>289</v>
      </c>
      <c r="I238" s="11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4" t="s">
        <v>15</v>
      </c>
      <c r="H239" s="11" t="s">
        <v>432</v>
      </c>
      <c r="I239" s="11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4" t="s">
        <v>22</v>
      </c>
      <c r="H240" s="11" t="s">
        <v>289</v>
      </c>
      <c r="I240" s="11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4" t="s">
        <v>22</v>
      </c>
      <c r="H241" s="11" t="s">
        <v>289</v>
      </c>
      <c r="I241" s="11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4" t="s">
        <v>20</v>
      </c>
      <c r="H242" s="11" t="s">
        <v>289</v>
      </c>
      <c r="I242" s="11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4" t="s">
        <v>22</v>
      </c>
      <c r="H243" s="11" t="s">
        <v>289</v>
      </c>
      <c r="I243" s="11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4" t="s">
        <v>20</v>
      </c>
      <c r="H244" s="11" t="s">
        <v>289</v>
      </c>
      <c r="I244" s="11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4" t="s">
        <v>15</v>
      </c>
      <c r="H245" s="11" t="s">
        <v>289</v>
      </c>
      <c r="I245" s="11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4" t="s">
        <v>22</v>
      </c>
      <c r="H246" s="11" t="s">
        <v>289</v>
      </c>
      <c r="I246" s="11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729</v>
      </c>
      <c r="G247" s="4" t="s">
        <v>22</v>
      </c>
      <c r="H247" s="11" t="s">
        <v>289</v>
      </c>
      <c r="I247" s="11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4" t="s">
        <v>15</v>
      </c>
      <c r="H248" s="11" t="s">
        <v>289</v>
      </c>
      <c r="I248" s="11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4" t="s">
        <v>20</v>
      </c>
      <c r="H249" s="11" t="s">
        <v>289</v>
      </c>
      <c r="I249" s="11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730</v>
      </c>
      <c r="G250" s="4" t="s">
        <v>22</v>
      </c>
      <c r="H250" s="11" t="s">
        <v>432</v>
      </c>
      <c r="I250" s="11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4" t="s">
        <v>20</v>
      </c>
      <c r="H251" s="11" t="s">
        <v>289</v>
      </c>
      <c r="I251" s="11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4" t="s">
        <v>20</v>
      </c>
      <c r="H252" s="11" t="s">
        <v>289</v>
      </c>
      <c r="I252" s="11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4" t="s">
        <v>20</v>
      </c>
      <c r="H253" s="11" t="s">
        <v>289</v>
      </c>
      <c r="I253" s="11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4" t="s">
        <v>20</v>
      </c>
      <c r="H254" s="11" t="s">
        <v>289</v>
      </c>
      <c r="I254" s="11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4" t="s">
        <v>20</v>
      </c>
      <c r="H255" s="11" t="s">
        <v>289</v>
      </c>
      <c r="I255" s="11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4" t="s">
        <v>20</v>
      </c>
      <c r="H256" s="11" t="s">
        <v>289</v>
      </c>
      <c r="I256" s="11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4" t="s">
        <v>22</v>
      </c>
      <c r="H257" s="11" t="s">
        <v>289</v>
      </c>
      <c r="I257" s="11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4" t="s">
        <v>15</v>
      </c>
      <c r="H258" s="11" t="s">
        <v>289</v>
      </c>
      <c r="I258" s="11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4" t="s">
        <v>20</v>
      </c>
      <c r="H259" s="11" t="s">
        <v>289</v>
      </c>
      <c r="I259" s="11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4" t="s">
        <v>22</v>
      </c>
      <c r="H260" s="11" t="s">
        <v>289</v>
      </c>
      <c r="I260" s="11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4" t="s">
        <v>15</v>
      </c>
      <c r="H261" s="11" t="s">
        <v>432</v>
      </c>
      <c r="I261" s="11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4" t="s">
        <v>22</v>
      </c>
      <c r="H262" s="11" t="s">
        <v>289</v>
      </c>
      <c r="I262" s="11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4" t="s">
        <v>22</v>
      </c>
      <c r="H263" s="11" t="s">
        <v>289</v>
      </c>
      <c r="I263" s="11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4" t="s">
        <v>20</v>
      </c>
      <c r="H264" s="11" t="s">
        <v>289</v>
      </c>
      <c r="I264" s="11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4" t="s">
        <v>22</v>
      </c>
      <c r="H265" s="11" t="s">
        <v>289</v>
      </c>
      <c r="I265" s="11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4" t="s">
        <v>20</v>
      </c>
      <c r="H266" s="11" t="s">
        <v>289</v>
      </c>
      <c r="I266" s="11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4" t="s">
        <v>22</v>
      </c>
      <c r="H267" s="11" t="s">
        <v>289</v>
      </c>
      <c r="I267" s="11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4" t="s">
        <v>22</v>
      </c>
      <c r="H268" s="11" t="s">
        <v>289</v>
      </c>
      <c r="I268" s="11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4" t="s">
        <v>22</v>
      </c>
      <c r="H269" s="11" t="s">
        <v>289</v>
      </c>
      <c r="I269" s="11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4" t="s">
        <v>22</v>
      </c>
      <c r="H270" s="11" t="s">
        <v>289</v>
      </c>
      <c r="I270" s="11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4" t="s">
        <v>22</v>
      </c>
      <c r="H271" s="11" t="s">
        <v>289</v>
      </c>
      <c r="I271" s="11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4" t="s">
        <v>15</v>
      </c>
      <c r="H272" s="11" t="s">
        <v>432</v>
      </c>
      <c r="I272" s="11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4" t="s">
        <v>22</v>
      </c>
      <c r="H273" s="11" t="s">
        <v>289</v>
      </c>
      <c r="I273" s="11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4" t="s">
        <v>22</v>
      </c>
      <c r="H274" s="11" t="s">
        <v>289</v>
      </c>
      <c r="I274" s="11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4" t="s">
        <v>22</v>
      </c>
      <c r="H275" s="11" t="s">
        <v>289</v>
      </c>
      <c r="I275" s="11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4" t="s">
        <v>22</v>
      </c>
      <c r="H276" s="11" t="s">
        <v>289</v>
      </c>
      <c r="I276" s="11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4" t="s">
        <v>20</v>
      </c>
      <c r="H277" s="11" t="s">
        <v>289</v>
      </c>
      <c r="I277" s="11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4" t="s">
        <v>20</v>
      </c>
      <c r="H278" s="11" t="s">
        <v>289</v>
      </c>
      <c r="I278" s="11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4" t="s">
        <v>22</v>
      </c>
      <c r="H279" s="11" t="s">
        <v>289</v>
      </c>
      <c r="I279" s="11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4" t="s">
        <v>22</v>
      </c>
      <c r="H280" s="11" t="s">
        <v>289</v>
      </c>
      <c r="I280" s="11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4" t="s">
        <v>15</v>
      </c>
      <c r="H281" s="11" t="s">
        <v>289</v>
      </c>
      <c r="I281" s="11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4" t="s">
        <v>15</v>
      </c>
      <c r="H282" s="11" t="s">
        <v>289</v>
      </c>
      <c r="I282" s="11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731</v>
      </c>
      <c r="G283" s="4" t="s">
        <v>22</v>
      </c>
      <c r="H283" s="11" t="s">
        <v>432</v>
      </c>
      <c r="I283" s="11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4" t="s">
        <v>15</v>
      </c>
      <c r="H284" s="11" t="s">
        <v>289</v>
      </c>
      <c r="I284" s="11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4" t="s">
        <v>22</v>
      </c>
      <c r="H285" s="11" t="s">
        <v>289</v>
      </c>
      <c r="I285" s="11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4" t="s">
        <v>22</v>
      </c>
      <c r="H286" s="11" t="s">
        <v>289</v>
      </c>
      <c r="I286" s="11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4" t="s">
        <v>20</v>
      </c>
      <c r="H287" s="11" t="s">
        <v>289</v>
      </c>
      <c r="I287" s="11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4" t="s">
        <v>22</v>
      </c>
      <c r="H288" s="11" t="s">
        <v>289</v>
      </c>
      <c r="I288" s="11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4" t="s">
        <v>20</v>
      </c>
      <c r="H289" s="11" t="s">
        <v>289</v>
      </c>
      <c r="I289" s="11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4" t="s">
        <v>22</v>
      </c>
      <c r="H290" s="11" t="s">
        <v>289</v>
      </c>
      <c r="I290" s="11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4" t="s">
        <v>22</v>
      </c>
      <c r="H291" s="11" t="s">
        <v>289</v>
      </c>
      <c r="I291" s="11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732</v>
      </c>
      <c r="G292" s="4" t="s">
        <v>20</v>
      </c>
      <c r="H292" s="11" t="s">
        <v>289</v>
      </c>
      <c r="I292" s="11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4" t="s">
        <v>20</v>
      </c>
      <c r="H293" s="11" t="s">
        <v>289</v>
      </c>
      <c r="I293" s="11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4" t="s">
        <v>15</v>
      </c>
      <c r="H294" s="11" t="s">
        <v>432</v>
      </c>
      <c r="I294" s="11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4" t="s">
        <v>22</v>
      </c>
      <c r="H295" s="11" t="s">
        <v>289</v>
      </c>
      <c r="I295" s="11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4" t="s">
        <v>15</v>
      </c>
      <c r="H296" s="11" t="s">
        <v>289</v>
      </c>
      <c r="I296" s="11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4" t="s">
        <v>15</v>
      </c>
      <c r="H297" s="11" t="s">
        <v>289</v>
      </c>
      <c r="I297" s="11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4" t="s">
        <v>22</v>
      </c>
      <c r="H298" s="11" t="s">
        <v>289</v>
      </c>
      <c r="I298" s="11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4" t="s">
        <v>20</v>
      </c>
      <c r="H299" s="11" t="s">
        <v>289</v>
      </c>
      <c r="I299" s="11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4" t="s">
        <v>20</v>
      </c>
      <c r="H300" s="11" t="s">
        <v>289</v>
      </c>
      <c r="I300" s="11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4" t="s">
        <v>15</v>
      </c>
      <c r="H301" s="11" t="s">
        <v>289</v>
      </c>
      <c r="I301" s="11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4" t="s">
        <v>15</v>
      </c>
      <c r="H302" s="11" t="s">
        <v>289</v>
      </c>
      <c r="I302" s="11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4" t="s">
        <v>20</v>
      </c>
      <c r="H303" s="11" t="s">
        <v>289</v>
      </c>
      <c r="I303" s="11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4" t="s">
        <v>22</v>
      </c>
      <c r="H304" s="11" t="s">
        <v>289</v>
      </c>
      <c r="I304" s="11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4" t="s">
        <v>15</v>
      </c>
      <c r="H305" s="11" t="s">
        <v>432</v>
      </c>
      <c r="I305" s="11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4" t="s">
        <v>15</v>
      </c>
      <c r="H306" s="11" t="s">
        <v>289</v>
      </c>
      <c r="I306" s="11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4" t="s">
        <v>15</v>
      </c>
      <c r="H307" s="11" t="s">
        <v>289</v>
      </c>
      <c r="I307" s="11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4" t="s">
        <v>20</v>
      </c>
      <c r="H308" s="11" t="s">
        <v>289</v>
      </c>
      <c r="I308" s="11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4" t="s">
        <v>20</v>
      </c>
      <c r="H309" s="11" t="s">
        <v>289</v>
      </c>
      <c r="I309" s="11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4" t="s">
        <v>20</v>
      </c>
      <c r="H310" s="11" t="s">
        <v>289</v>
      </c>
      <c r="I310" s="11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4" t="s">
        <v>22</v>
      </c>
      <c r="H311" s="11" t="s">
        <v>289</v>
      </c>
      <c r="I311" s="11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4" t="s">
        <v>22</v>
      </c>
      <c r="H312" s="11" t="s">
        <v>289</v>
      </c>
      <c r="I312" s="11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4" t="s">
        <v>15</v>
      </c>
      <c r="H313" s="11" t="s">
        <v>289</v>
      </c>
      <c r="I313" s="11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4" t="s">
        <v>22</v>
      </c>
      <c r="H314" s="11" t="s">
        <v>289</v>
      </c>
      <c r="I314" s="11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4" t="s">
        <v>22</v>
      </c>
      <c r="H315" s="11" t="s">
        <v>289</v>
      </c>
      <c r="I315" s="11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733</v>
      </c>
      <c r="G316" s="4" t="s">
        <v>20</v>
      </c>
      <c r="H316" s="11" t="s">
        <v>432</v>
      </c>
      <c r="I316" s="11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4" t="s">
        <v>15</v>
      </c>
      <c r="H317" s="11" t="s">
        <v>289</v>
      </c>
      <c r="I317" s="11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4" t="s">
        <v>20</v>
      </c>
      <c r="H318" s="11" t="s">
        <v>289</v>
      </c>
      <c r="I318" s="11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4" t="s">
        <v>15</v>
      </c>
      <c r="H319" s="11" t="s">
        <v>289</v>
      </c>
      <c r="I319" s="11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4" t="s">
        <v>22</v>
      </c>
      <c r="H320" s="11" t="s">
        <v>289</v>
      </c>
      <c r="I320" s="11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4" t="s">
        <v>20</v>
      </c>
      <c r="H321" s="11" t="s">
        <v>289</v>
      </c>
      <c r="I321" s="11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4" t="s">
        <v>22</v>
      </c>
      <c r="H322" s="11" t="s">
        <v>289</v>
      </c>
      <c r="I322" s="11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4" t="s">
        <v>20</v>
      </c>
      <c r="H323" s="11" t="s">
        <v>289</v>
      </c>
      <c r="I323" s="11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4" t="s">
        <v>20</v>
      </c>
      <c r="H324" s="11" t="s">
        <v>289</v>
      </c>
      <c r="I324" s="11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4" t="s">
        <v>20</v>
      </c>
      <c r="H325" s="11" t="s">
        <v>289</v>
      </c>
      <c r="I325" s="11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4" t="s">
        <v>22</v>
      </c>
      <c r="H326" s="11" t="s">
        <v>289</v>
      </c>
      <c r="I326" s="11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4" t="s">
        <v>15</v>
      </c>
      <c r="H327" s="11" t="s">
        <v>432</v>
      </c>
      <c r="I327" s="11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4" t="s">
        <v>15</v>
      </c>
      <c r="H328" s="11" t="s">
        <v>289</v>
      </c>
      <c r="I328" s="11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4" t="s">
        <v>15</v>
      </c>
      <c r="H329" s="11" t="s">
        <v>289</v>
      </c>
      <c r="I329" s="11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4" t="s">
        <v>20</v>
      </c>
      <c r="H330" s="11" t="s">
        <v>289</v>
      </c>
      <c r="I330" s="11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4" t="s">
        <v>20</v>
      </c>
      <c r="H331" s="11" t="s">
        <v>289</v>
      </c>
      <c r="I331" s="11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4" t="s">
        <v>20</v>
      </c>
      <c r="H332" s="11" t="s">
        <v>289</v>
      </c>
      <c r="I332" s="11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4" t="s">
        <v>22</v>
      </c>
      <c r="H333" s="11" t="s">
        <v>289</v>
      </c>
      <c r="I333" s="11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4" t="s">
        <v>22</v>
      </c>
      <c r="H334" s="11" t="s">
        <v>289</v>
      </c>
      <c r="I334" s="11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4" t="s">
        <v>22</v>
      </c>
      <c r="H335" s="11" t="s">
        <v>289</v>
      </c>
      <c r="I335" s="11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4" t="s">
        <v>15</v>
      </c>
      <c r="H336" s="11" t="s">
        <v>289</v>
      </c>
      <c r="I336" s="11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4" t="s">
        <v>20</v>
      </c>
      <c r="H337" s="11" t="s">
        <v>289</v>
      </c>
      <c r="I337" s="11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4" t="s">
        <v>15</v>
      </c>
      <c r="H338" s="11" t="s">
        <v>25</v>
      </c>
      <c r="I338" s="11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4" t="s">
        <v>20</v>
      </c>
      <c r="H339" s="11" t="s">
        <v>432</v>
      </c>
      <c r="I339" s="11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4" t="s">
        <v>15</v>
      </c>
      <c r="H340" s="11" t="s">
        <v>289</v>
      </c>
      <c r="I340" s="11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4" t="s">
        <v>22</v>
      </c>
      <c r="H341" s="11" t="s">
        <v>289</v>
      </c>
      <c r="I341" s="11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4" t="s">
        <v>22</v>
      </c>
      <c r="H342" s="11" t="s">
        <v>289</v>
      </c>
      <c r="I342" s="11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4" t="s">
        <v>22</v>
      </c>
      <c r="H343" s="11" t="s">
        <v>628</v>
      </c>
      <c r="I343" s="11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4" t="s">
        <v>22</v>
      </c>
      <c r="H344" s="11" t="s">
        <v>628</v>
      </c>
      <c r="I344" s="11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4" t="s">
        <v>22</v>
      </c>
      <c r="H345" s="11" t="s">
        <v>628</v>
      </c>
      <c r="I345" s="11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4" t="s">
        <v>22</v>
      </c>
      <c r="H346" s="11" t="s">
        <v>628</v>
      </c>
      <c r="I346" s="11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4" t="s">
        <v>20</v>
      </c>
      <c r="H347" s="11" t="s">
        <v>628</v>
      </c>
      <c r="I347" s="11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4" t="s">
        <v>15</v>
      </c>
      <c r="H348" s="11" t="s">
        <v>628</v>
      </c>
      <c r="I348" s="11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4" t="s">
        <v>22</v>
      </c>
      <c r="H349" s="11" t="s">
        <v>628</v>
      </c>
      <c r="I349" s="11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4" t="s">
        <v>15</v>
      </c>
      <c r="H350" s="11" t="s">
        <v>432</v>
      </c>
      <c r="I350" s="11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4" t="s">
        <v>20</v>
      </c>
      <c r="H351" s="11" t="s">
        <v>628</v>
      </c>
      <c r="I351" s="11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4" t="s">
        <v>20</v>
      </c>
      <c r="H352" s="11" t="s">
        <v>628</v>
      </c>
      <c r="I352" s="11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4" t="s">
        <v>15</v>
      </c>
      <c r="H353" s="11" t="s">
        <v>628</v>
      </c>
      <c r="I353" s="11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4" t="s">
        <v>22</v>
      </c>
      <c r="H354" s="11" t="s">
        <v>628</v>
      </c>
      <c r="I354" s="11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4" t="s">
        <v>20</v>
      </c>
      <c r="H355" s="11" t="s">
        <v>628</v>
      </c>
      <c r="I355" s="11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4" t="s">
        <v>22</v>
      </c>
      <c r="H356" s="11" t="s">
        <v>628</v>
      </c>
      <c r="I356" s="11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4" t="s">
        <v>20</v>
      </c>
      <c r="H357" s="11" t="s">
        <v>628</v>
      </c>
      <c r="I357" s="11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4" t="s">
        <v>22</v>
      </c>
      <c r="H358" s="11" t="s">
        <v>628</v>
      </c>
      <c r="I358" s="11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4" t="s">
        <v>22</v>
      </c>
      <c r="H359" s="11" t="s">
        <v>628</v>
      </c>
      <c r="I359" s="11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4" t="s">
        <v>20</v>
      </c>
      <c r="H360" s="11" t="s">
        <v>628</v>
      </c>
      <c r="I360" s="11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734</v>
      </c>
      <c r="G361" s="4" t="s">
        <v>20</v>
      </c>
      <c r="H361" s="11" t="s">
        <v>432</v>
      </c>
      <c r="I361" s="11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735</v>
      </c>
      <c r="G362" s="4" t="s">
        <v>20</v>
      </c>
      <c r="H362" s="11" t="s">
        <v>628</v>
      </c>
      <c r="I362" s="11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4" t="s">
        <v>15</v>
      </c>
      <c r="H363" s="11" t="s">
        <v>628</v>
      </c>
      <c r="I363" s="11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736</v>
      </c>
      <c r="G364" s="4" t="s">
        <v>20</v>
      </c>
      <c r="H364" s="11" t="s">
        <v>628</v>
      </c>
      <c r="I364" s="11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4" t="s">
        <v>20</v>
      </c>
      <c r="H365" s="11" t="s">
        <v>628</v>
      </c>
      <c r="I365" s="11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4" t="s">
        <v>22</v>
      </c>
      <c r="H366" s="11" t="s">
        <v>628</v>
      </c>
      <c r="I366" s="11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4" t="s">
        <v>22</v>
      </c>
      <c r="H367" s="11" t="s">
        <v>628</v>
      </c>
      <c r="I367" s="11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4" t="s">
        <v>20</v>
      </c>
      <c r="H368" s="11" t="s">
        <v>628</v>
      </c>
      <c r="I368" s="11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4" t="s">
        <v>20</v>
      </c>
      <c r="H369" s="11" t="s">
        <v>628</v>
      </c>
      <c r="I369" s="11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4" t="s">
        <v>22</v>
      </c>
      <c r="H370" s="11" t="s">
        <v>628</v>
      </c>
      <c r="I370" s="11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4" t="s">
        <v>20</v>
      </c>
      <c r="H371" s="11" t="s">
        <v>628</v>
      </c>
      <c r="I371" s="11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4" t="s">
        <v>15</v>
      </c>
      <c r="H372" s="11" t="s">
        <v>432</v>
      </c>
      <c r="I372" s="11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4" t="s">
        <v>22</v>
      </c>
      <c r="H373" s="11" t="s">
        <v>628</v>
      </c>
      <c r="I373" s="11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4" t="s">
        <v>20</v>
      </c>
      <c r="H374" s="11" t="s">
        <v>628</v>
      </c>
      <c r="I374" s="11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4" t="s">
        <v>22</v>
      </c>
      <c r="H375" s="11" t="s">
        <v>628</v>
      </c>
      <c r="I375" s="11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4" t="s">
        <v>20</v>
      </c>
      <c r="H376" s="11" t="s">
        <v>628</v>
      </c>
      <c r="I376" s="11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4" t="s">
        <v>20</v>
      </c>
      <c r="H377" s="11" t="s">
        <v>628</v>
      </c>
      <c r="I377" s="11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4" t="s">
        <v>22</v>
      </c>
      <c r="H378" s="11" t="s">
        <v>628</v>
      </c>
      <c r="I378" s="11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4" t="s">
        <v>20</v>
      </c>
      <c r="H379" s="11" t="s">
        <v>628</v>
      </c>
      <c r="I379" s="11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4" t="s">
        <v>22</v>
      </c>
      <c r="H380" s="11" t="s">
        <v>628</v>
      </c>
      <c r="I380" s="11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4" t="s">
        <v>22</v>
      </c>
      <c r="H381" s="11" t="s">
        <v>628</v>
      </c>
      <c r="I381" s="11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4" t="s">
        <v>22</v>
      </c>
      <c r="H382" s="11" t="s">
        <v>628</v>
      </c>
      <c r="I382" s="11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4" t="s">
        <v>20</v>
      </c>
      <c r="H383" s="11" t="s">
        <v>432</v>
      </c>
      <c r="I383" s="11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4" t="s">
        <v>22</v>
      </c>
      <c r="H384" s="11" t="s">
        <v>628</v>
      </c>
      <c r="I384" s="11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4" t="s">
        <v>20</v>
      </c>
      <c r="H385" s="11" t="s">
        <v>628</v>
      </c>
      <c r="I385" s="11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4" t="s">
        <v>20</v>
      </c>
      <c r="H386" s="11" t="s">
        <v>628</v>
      </c>
      <c r="I386" s="11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4" t="s">
        <v>22</v>
      </c>
      <c r="H387" s="11" t="s">
        <v>628</v>
      </c>
      <c r="I387" s="11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4" t="s">
        <v>22</v>
      </c>
      <c r="H388" s="11" t="s">
        <v>628</v>
      </c>
      <c r="I388" s="11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4" t="s">
        <v>15</v>
      </c>
      <c r="H389" s="11" t="s">
        <v>628</v>
      </c>
      <c r="I389" s="11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4" t="s">
        <v>20</v>
      </c>
      <c r="H390" s="11" t="s">
        <v>628</v>
      </c>
      <c r="I390" s="11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4" t="s">
        <v>15</v>
      </c>
      <c r="H391" s="11" t="s">
        <v>628</v>
      </c>
      <c r="I391" s="11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4" t="s">
        <v>20</v>
      </c>
      <c r="H392" s="11" t="s">
        <v>628</v>
      </c>
      <c r="I392" s="11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4" t="s">
        <v>22</v>
      </c>
      <c r="H393" s="11" t="s">
        <v>628</v>
      </c>
      <c r="I393" s="11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4" t="s">
        <v>15</v>
      </c>
      <c r="H394" s="11" t="s">
        <v>432</v>
      </c>
      <c r="I394" s="11" t="s">
        <v>29</v>
      </c>
      <c r="J394" s="2">
        <v>1275</v>
      </c>
      <c r="K394" s="2">
        <v>6375</v>
      </c>
    </row>
    <row r="395" spans="1:11" x14ac:dyDescent="0.3">
      <c r="E395">
        <f t="shared" ref="E395:F395" si="1">SUM(E1:E394)</f>
        <v>38335069.949000001</v>
      </c>
      <c r="F395">
        <f t="shared" si="1"/>
        <v>0</v>
      </c>
      <c r="G395"/>
      <c r="J395">
        <f>SUM(J1:J394)</f>
        <v>3202883</v>
      </c>
      <c r="K395">
        <f>SUM(K1:K394)</f>
        <v>32568773</v>
      </c>
    </row>
  </sheetData>
  <mergeCells count="1">
    <mergeCell ref="O10:R10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workbookViewId="0">
      <selection activeCell="B3" sqref="B3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4" t="s">
        <v>3</v>
      </c>
      <c r="F2" t="s">
        <v>19</v>
      </c>
    </row>
    <row r="3" spans="1:9" x14ac:dyDescent="0.3">
      <c r="A3" s="14" t="s">
        <v>738</v>
      </c>
      <c r="B3" t="s">
        <v>737</v>
      </c>
    </row>
    <row r="4" spans="1:9" x14ac:dyDescent="0.3">
      <c r="A4" s="15" t="s">
        <v>697</v>
      </c>
      <c r="B4">
        <v>22000</v>
      </c>
      <c r="E4" s="14" t="s">
        <v>738</v>
      </c>
      <c r="F4" t="s">
        <v>743</v>
      </c>
    </row>
    <row r="5" spans="1:9" x14ac:dyDescent="0.3">
      <c r="A5" s="15" t="s">
        <v>19</v>
      </c>
      <c r="B5">
        <v>15215456.32</v>
      </c>
      <c r="E5" s="15" t="s">
        <v>20</v>
      </c>
      <c r="F5">
        <v>28</v>
      </c>
    </row>
    <row r="6" spans="1:9" x14ac:dyDescent="0.3">
      <c r="A6" s="15" t="s">
        <v>33</v>
      </c>
      <c r="B6">
        <v>3509473.5079999999</v>
      </c>
      <c r="E6" s="15" t="s">
        <v>22</v>
      </c>
      <c r="F6">
        <v>20</v>
      </c>
    </row>
    <row r="7" spans="1:9" x14ac:dyDescent="0.3">
      <c r="A7" s="15" t="s">
        <v>14</v>
      </c>
      <c r="B7">
        <v>19588140.120999999</v>
      </c>
      <c r="E7" s="15" t="s">
        <v>15</v>
      </c>
      <c r="F7">
        <v>17</v>
      </c>
    </row>
    <row r="8" spans="1:9" x14ac:dyDescent="0.3">
      <c r="A8" s="15" t="s">
        <v>739</v>
      </c>
      <c r="B8">
        <v>38335069.949000001</v>
      </c>
      <c r="E8" s="15" t="s">
        <v>739</v>
      </c>
      <c r="F8">
        <v>65</v>
      </c>
    </row>
    <row r="9" spans="1:9" x14ac:dyDescent="0.3">
      <c r="H9" s="14" t="s">
        <v>6</v>
      </c>
      <c r="I9" t="s">
        <v>740</v>
      </c>
    </row>
    <row r="11" spans="1:9" x14ac:dyDescent="0.3">
      <c r="H11" s="14" t="s">
        <v>738</v>
      </c>
      <c r="I11" t="s">
        <v>742</v>
      </c>
    </row>
    <row r="12" spans="1:9" x14ac:dyDescent="0.3">
      <c r="A12" s="14" t="s">
        <v>6</v>
      </c>
      <c r="B12" t="s">
        <v>15</v>
      </c>
      <c r="H12" s="15" t="s">
        <v>127</v>
      </c>
      <c r="I12">
        <v>203282</v>
      </c>
    </row>
    <row r="13" spans="1:9" x14ac:dyDescent="0.3">
      <c r="H13" s="15" t="s">
        <v>425</v>
      </c>
      <c r="I13">
        <v>1025</v>
      </c>
    </row>
    <row r="14" spans="1:9" x14ac:dyDescent="0.3">
      <c r="A14" s="14" t="s">
        <v>738</v>
      </c>
      <c r="B14" t="s">
        <v>744</v>
      </c>
      <c r="H14" s="15" t="s">
        <v>594</v>
      </c>
      <c r="I14">
        <v>272053</v>
      </c>
    </row>
    <row r="15" spans="1:9" x14ac:dyDescent="0.3">
      <c r="A15" s="15" t="s">
        <v>16</v>
      </c>
      <c r="B15">
        <v>1</v>
      </c>
      <c r="H15" s="15" t="s">
        <v>226</v>
      </c>
      <c r="I15">
        <v>23872</v>
      </c>
    </row>
    <row r="16" spans="1:9" x14ac:dyDescent="0.3">
      <c r="A16" s="15" t="s">
        <v>25</v>
      </c>
      <c r="B16">
        <v>3</v>
      </c>
      <c r="H16" s="15" t="s">
        <v>635</v>
      </c>
      <c r="I16">
        <v>7330</v>
      </c>
    </row>
    <row r="17" spans="1:9" x14ac:dyDescent="0.3">
      <c r="A17" s="15" t="s">
        <v>34</v>
      </c>
      <c r="B17">
        <v>9</v>
      </c>
      <c r="H17" s="15" t="s">
        <v>334</v>
      </c>
      <c r="I17">
        <v>24721</v>
      </c>
    </row>
    <row r="18" spans="1:9" x14ac:dyDescent="0.3">
      <c r="A18" s="15" t="s">
        <v>106</v>
      </c>
      <c r="B18">
        <v>6</v>
      </c>
      <c r="H18" s="15" t="s">
        <v>446</v>
      </c>
      <c r="I18">
        <v>41018</v>
      </c>
    </row>
    <row r="19" spans="1:9" x14ac:dyDescent="0.3">
      <c r="A19" s="15" t="s">
        <v>185</v>
      </c>
      <c r="B19">
        <v>2</v>
      </c>
      <c r="H19" s="15" t="s">
        <v>612</v>
      </c>
      <c r="I19">
        <v>21482</v>
      </c>
    </row>
    <row r="20" spans="1:9" x14ac:dyDescent="0.3">
      <c r="A20" s="15" t="s">
        <v>213</v>
      </c>
      <c r="B20">
        <v>7</v>
      </c>
      <c r="H20" s="15" t="s">
        <v>487</v>
      </c>
      <c r="I20">
        <v>24433</v>
      </c>
    </row>
    <row r="21" spans="1:9" x14ac:dyDescent="0.3">
      <c r="A21" s="15" t="s">
        <v>289</v>
      </c>
      <c r="B21">
        <v>38</v>
      </c>
      <c r="H21" s="15" t="s">
        <v>111</v>
      </c>
      <c r="I21">
        <v>31172</v>
      </c>
    </row>
    <row r="22" spans="1:9" x14ac:dyDescent="0.3">
      <c r="A22" s="15" t="s">
        <v>628</v>
      </c>
      <c r="B22">
        <v>5</v>
      </c>
      <c r="H22" s="15" t="s">
        <v>280</v>
      </c>
      <c r="I22">
        <v>10003</v>
      </c>
    </row>
    <row r="23" spans="1:9" x14ac:dyDescent="0.3">
      <c r="A23" s="15" t="s">
        <v>28</v>
      </c>
      <c r="B23">
        <v>11</v>
      </c>
      <c r="H23" s="15" t="s">
        <v>573</v>
      </c>
      <c r="I23">
        <v>43449</v>
      </c>
    </row>
    <row r="24" spans="1:9" x14ac:dyDescent="0.3">
      <c r="A24" s="15" t="s">
        <v>432</v>
      </c>
      <c r="B24">
        <v>9</v>
      </c>
      <c r="H24" s="15" t="s">
        <v>137</v>
      </c>
      <c r="I24">
        <v>355619</v>
      </c>
    </row>
    <row r="25" spans="1:9" x14ac:dyDescent="0.3">
      <c r="A25" s="15" t="s">
        <v>739</v>
      </c>
      <c r="B25">
        <v>91</v>
      </c>
      <c r="H25" s="15" t="s">
        <v>677</v>
      </c>
      <c r="I25">
        <v>45641</v>
      </c>
    </row>
    <row r="26" spans="1:9" x14ac:dyDescent="0.3">
      <c r="H26" s="15" t="s">
        <v>255</v>
      </c>
      <c r="I26">
        <v>64932</v>
      </c>
    </row>
    <row r="27" spans="1:9" x14ac:dyDescent="0.3">
      <c r="H27" s="15" t="s">
        <v>540</v>
      </c>
      <c r="I27">
        <v>12708</v>
      </c>
    </row>
    <row r="28" spans="1:9" x14ac:dyDescent="0.3">
      <c r="H28" s="15" t="s">
        <v>247</v>
      </c>
      <c r="I28">
        <v>21410</v>
      </c>
    </row>
    <row r="29" spans="1:9" x14ac:dyDescent="0.3">
      <c r="H29" s="15" t="s">
        <v>366</v>
      </c>
      <c r="I29">
        <v>16834</v>
      </c>
    </row>
    <row r="30" spans="1:9" x14ac:dyDescent="0.3">
      <c r="H30" s="15" t="s">
        <v>171</v>
      </c>
      <c r="I30">
        <v>172937</v>
      </c>
    </row>
    <row r="31" spans="1:9" x14ac:dyDescent="0.3">
      <c r="H31" s="15" t="s">
        <v>457</v>
      </c>
      <c r="I31">
        <v>39346</v>
      </c>
    </row>
    <row r="32" spans="1:9" x14ac:dyDescent="0.3">
      <c r="H32" s="15" t="s">
        <v>467</v>
      </c>
      <c r="I32">
        <v>167438</v>
      </c>
    </row>
    <row r="33" spans="8:9" x14ac:dyDescent="0.3">
      <c r="H33" s="15" t="s">
        <v>315</v>
      </c>
      <c r="I33">
        <v>30011</v>
      </c>
    </row>
    <row r="34" spans="8:9" x14ac:dyDescent="0.3">
      <c r="H34" s="15" t="s">
        <v>462</v>
      </c>
      <c r="I34">
        <v>31757</v>
      </c>
    </row>
    <row r="35" spans="8:9" x14ac:dyDescent="0.3">
      <c r="H35" s="15" t="s">
        <v>378</v>
      </c>
      <c r="I35">
        <v>15697</v>
      </c>
    </row>
    <row r="36" spans="8:9" x14ac:dyDescent="0.3">
      <c r="H36" s="15" t="s">
        <v>702</v>
      </c>
      <c r="I36">
        <v>19641</v>
      </c>
    </row>
    <row r="37" spans="8:9" x14ac:dyDescent="0.3">
      <c r="H37" s="15" t="s">
        <v>689</v>
      </c>
      <c r="I37">
        <v>178933</v>
      </c>
    </row>
    <row r="38" spans="8:9" x14ac:dyDescent="0.3">
      <c r="H38" s="15" t="s">
        <v>453</v>
      </c>
      <c r="I38">
        <v>24547</v>
      </c>
    </row>
    <row r="39" spans="8:9" x14ac:dyDescent="0.3">
      <c r="H39" s="15" t="s">
        <v>159</v>
      </c>
      <c r="I39">
        <v>23284</v>
      </c>
    </row>
    <row r="40" spans="8:9" x14ac:dyDescent="0.3">
      <c r="H40" s="15" t="s">
        <v>269</v>
      </c>
      <c r="I40">
        <v>21474</v>
      </c>
    </row>
    <row r="41" spans="8:9" x14ac:dyDescent="0.3">
      <c r="H41" s="15" t="s">
        <v>674</v>
      </c>
      <c r="I41">
        <v>51972</v>
      </c>
    </row>
    <row r="42" spans="8:9" x14ac:dyDescent="0.3">
      <c r="H42" s="15" t="s">
        <v>282</v>
      </c>
      <c r="I42">
        <v>23784</v>
      </c>
    </row>
    <row r="43" spans="8:9" x14ac:dyDescent="0.3">
      <c r="H43" s="15" t="s">
        <v>437</v>
      </c>
      <c r="I43">
        <v>35653</v>
      </c>
    </row>
    <row r="44" spans="8:9" x14ac:dyDescent="0.3">
      <c r="H44" s="15" t="s">
        <v>470</v>
      </c>
      <c r="I44">
        <v>294858</v>
      </c>
    </row>
    <row r="45" spans="8:9" x14ac:dyDescent="0.3">
      <c r="H45" s="15" t="s">
        <v>31</v>
      </c>
      <c r="I45">
        <v>31779</v>
      </c>
    </row>
    <row r="46" spans="8:9" x14ac:dyDescent="0.3">
      <c r="H46" s="15" t="s">
        <v>113</v>
      </c>
      <c r="I46">
        <v>229656</v>
      </c>
    </row>
    <row r="47" spans="8:9" x14ac:dyDescent="0.3">
      <c r="H47" s="15" t="s">
        <v>483</v>
      </c>
      <c r="I47">
        <v>95236</v>
      </c>
    </row>
    <row r="48" spans="8:9" x14ac:dyDescent="0.3">
      <c r="H48" s="15" t="s">
        <v>622</v>
      </c>
      <c r="I48">
        <v>93602</v>
      </c>
    </row>
    <row r="49" spans="8:9" x14ac:dyDescent="0.3">
      <c r="H49" s="15" t="s">
        <v>412</v>
      </c>
      <c r="I49">
        <v>44276</v>
      </c>
    </row>
    <row r="50" spans="8:9" x14ac:dyDescent="0.3">
      <c r="H50" s="15" t="s">
        <v>319</v>
      </c>
      <c r="I50">
        <v>9273</v>
      </c>
    </row>
    <row r="51" spans="8:9" x14ac:dyDescent="0.3">
      <c r="H51" s="15" t="s">
        <v>266</v>
      </c>
      <c r="I51">
        <v>3757</v>
      </c>
    </row>
    <row r="52" spans="8:9" x14ac:dyDescent="0.3">
      <c r="H52" s="15" t="s">
        <v>249</v>
      </c>
      <c r="I52">
        <v>3914</v>
      </c>
    </row>
    <row r="53" spans="8:9" x14ac:dyDescent="0.3">
      <c r="H53" s="15" t="s">
        <v>76</v>
      </c>
      <c r="I53">
        <v>222346</v>
      </c>
    </row>
    <row r="54" spans="8:9" x14ac:dyDescent="0.3">
      <c r="H54" s="15" t="s">
        <v>234</v>
      </c>
      <c r="I54">
        <v>8634</v>
      </c>
    </row>
    <row r="55" spans="8:9" x14ac:dyDescent="0.3">
      <c r="H55" s="15" t="s">
        <v>341</v>
      </c>
      <c r="I55">
        <v>20052</v>
      </c>
    </row>
    <row r="56" spans="8:9" x14ac:dyDescent="0.3">
      <c r="H56" s="15" t="s">
        <v>131</v>
      </c>
      <c r="I56">
        <v>29277</v>
      </c>
    </row>
    <row r="57" spans="8:9" x14ac:dyDescent="0.3">
      <c r="H57" s="15" t="s">
        <v>521</v>
      </c>
      <c r="I57">
        <v>44536</v>
      </c>
    </row>
    <row r="58" spans="8:9" x14ac:dyDescent="0.3">
      <c r="H58" s="15" t="s">
        <v>308</v>
      </c>
      <c r="I58">
        <v>59604</v>
      </c>
    </row>
    <row r="59" spans="8:9" x14ac:dyDescent="0.3">
      <c r="H59" s="15" t="s">
        <v>555</v>
      </c>
      <c r="I59">
        <v>26721</v>
      </c>
    </row>
    <row r="60" spans="8:9" x14ac:dyDescent="0.3">
      <c r="H60" s="15" t="s">
        <v>652</v>
      </c>
      <c r="I60">
        <v>6954</v>
      </c>
    </row>
    <row r="61" spans="8:9" x14ac:dyDescent="0.3">
      <c r="H61" s="15" t="s">
        <v>617</v>
      </c>
      <c r="I61">
        <v>113227</v>
      </c>
    </row>
    <row r="62" spans="8:9" x14ac:dyDescent="0.3">
      <c r="H62" s="15" t="s">
        <v>133</v>
      </c>
      <c r="I62">
        <v>19340</v>
      </c>
    </row>
    <row r="63" spans="8:9" x14ac:dyDescent="0.3">
      <c r="H63" s="15" t="s">
        <v>364</v>
      </c>
      <c r="I63">
        <v>40373</v>
      </c>
    </row>
    <row r="64" spans="8:9" x14ac:dyDescent="0.3">
      <c r="H64" s="15" t="s">
        <v>516</v>
      </c>
      <c r="I64">
        <v>13286</v>
      </c>
    </row>
    <row r="65" spans="8:9" x14ac:dyDescent="0.3">
      <c r="H65" s="15" t="s">
        <v>615</v>
      </c>
      <c r="I65">
        <v>34785</v>
      </c>
    </row>
    <row r="66" spans="8:9" x14ac:dyDescent="0.3">
      <c r="H66" s="15" t="s">
        <v>317</v>
      </c>
      <c r="I66">
        <v>43959</v>
      </c>
    </row>
    <row r="67" spans="8:9" x14ac:dyDescent="0.3">
      <c r="H67" s="15" t="s">
        <v>648</v>
      </c>
      <c r="I67">
        <v>27823</v>
      </c>
    </row>
    <row r="68" spans="8:9" x14ac:dyDescent="0.3">
      <c r="H68" s="15" t="s">
        <v>391</v>
      </c>
      <c r="I68">
        <v>22766</v>
      </c>
    </row>
    <row r="69" spans="8:9" x14ac:dyDescent="0.3">
      <c r="H69" s="15" t="s">
        <v>444</v>
      </c>
      <c r="I69">
        <v>12683</v>
      </c>
    </row>
    <row r="70" spans="8:9" x14ac:dyDescent="0.3">
      <c r="H70" s="15" t="s">
        <v>587</v>
      </c>
      <c r="I70">
        <v>11424</v>
      </c>
    </row>
    <row r="71" spans="8:9" x14ac:dyDescent="0.3">
      <c r="H71" s="15" t="s">
        <v>125</v>
      </c>
      <c r="I71">
        <v>49537</v>
      </c>
    </row>
    <row r="72" spans="8:9" x14ac:dyDescent="0.3">
      <c r="H72" s="15" t="s">
        <v>465</v>
      </c>
      <c r="I72">
        <v>45699</v>
      </c>
    </row>
    <row r="73" spans="8:9" x14ac:dyDescent="0.3">
      <c r="H73" s="15" t="s">
        <v>550</v>
      </c>
      <c r="I73">
        <v>9765</v>
      </c>
    </row>
    <row r="74" spans="8:9" x14ac:dyDescent="0.3">
      <c r="H74" s="15" t="s">
        <v>63</v>
      </c>
      <c r="I74">
        <v>36059</v>
      </c>
    </row>
    <row r="75" spans="8:9" x14ac:dyDescent="0.3">
      <c r="H75" s="15" t="s">
        <v>592</v>
      </c>
      <c r="I75">
        <v>17181</v>
      </c>
    </row>
    <row r="76" spans="8:9" x14ac:dyDescent="0.3">
      <c r="H76" s="15" t="s">
        <v>65</v>
      </c>
      <c r="I76">
        <v>382595</v>
      </c>
    </row>
    <row r="77" spans="8:9" x14ac:dyDescent="0.3">
      <c r="H77" s="15" t="s">
        <v>610</v>
      </c>
      <c r="I77">
        <v>21130</v>
      </c>
    </row>
    <row r="78" spans="8:9" x14ac:dyDescent="0.3">
      <c r="H78" s="15" t="s">
        <v>362</v>
      </c>
      <c r="I78">
        <v>101756</v>
      </c>
    </row>
    <row r="79" spans="8:9" x14ac:dyDescent="0.3">
      <c r="H79" s="15" t="s">
        <v>398</v>
      </c>
      <c r="I79">
        <v>7911</v>
      </c>
    </row>
    <row r="80" spans="8:9" x14ac:dyDescent="0.3">
      <c r="H80" s="15" t="s">
        <v>566</v>
      </c>
      <c r="I80">
        <v>8147</v>
      </c>
    </row>
    <row r="81" spans="8:9" x14ac:dyDescent="0.3">
      <c r="H81" s="15" t="s">
        <v>536</v>
      </c>
      <c r="I81">
        <v>835</v>
      </c>
    </row>
    <row r="82" spans="8:9" x14ac:dyDescent="0.3">
      <c r="H82" s="15" t="s">
        <v>135</v>
      </c>
      <c r="I82">
        <v>448449</v>
      </c>
    </row>
    <row r="83" spans="8:9" x14ac:dyDescent="0.3">
      <c r="H83" s="15" t="s">
        <v>78</v>
      </c>
      <c r="I83">
        <v>40001</v>
      </c>
    </row>
    <row r="84" spans="8:9" x14ac:dyDescent="0.3">
      <c r="H84" s="15" t="s">
        <v>656</v>
      </c>
      <c r="I84">
        <v>5193</v>
      </c>
    </row>
    <row r="85" spans="8:9" x14ac:dyDescent="0.3">
      <c r="H85" s="15" t="s">
        <v>644</v>
      </c>
      <c r="I85">
        <v>7332</v>
      </c>
    </row>
    <row r="86" spans="8:9" x14ac:dyDescent="0.3">
      <c r="H86" s="15" t="s">
        <v>326</v>
      </c>
      <c r="I86">
        <v>12120</v>
      </c>
    </row>
    <row r="87" spans="8:9" x14ac:dyDescent="0.3">
      <c r="H87" s="15" t="s">
        <v>200</v>
      </c>
      <c r="I87">
        <v>28167</v>
      </c>
    </row>
    <row r="88" spans="8:9" x14ac:dyDescent="0.3">
      <c r="H88" s="15" t="s">
        <v>99</v>
      </c>
      <c r="I88">
        <v>251895</v>
      </c>
    </row>
    <row r="89" spans="8:9" x14ac:dyDescent="0.3">
      <c r="H89" s="15" t="s">
        <v>312</v>
      </c>
      <c r="I89">
        <v>199941</v>
      </c>
    </row>
    <row r="90" spans="8:9" x14ac:dyDescent="0.3">
      <c r="H90" s="15" t="s">
        <v>481</v>
      </c>
      <c r="I90">
        <v>79658</v>
      </c>
    </row>
    <row r="91" spans="8:9" x14ac:dyDescent="0.3">
      <c r="H91" s="15" t="s">
        <v>45</v>
      </c>
      <c r="I91">
        <v>96087</v>
      </c>
    </row>
    <row r="92" spans="8:9" x14ac:dyDescent="0.3">
      <c r="H92" s="15" t="s">
        <v>84</v>
      </c>
      <c r="I92">
        <v>662883</v>
      </c>
    </row>
    <row r="93" spans="8:9" x14ac:dyDescent="0.3">
      <c r="H93" s="15" t="s">
        <v>561</v>
      </c>
      <c r="I93">
        <v>13899</v>
      </c>
    </row>
    <row r="94" spans="8:9" x14ac:dyDescent="0.3">
      <c r="H94" s="15" t="s">
        <v>532</v>
      </c>
      <c r="I94">
        <v>67597</v>
      </c>
    </row>
    <row r="95" spans="8:9" x14ac:dyDescent="0.3">
      <c r="H95" s="15" t="s">
        <v>71</v>
      </c>
      <c r="I95">
        <v>111366</v>
      </c>
    </row>
    <row r="96" spans="8:9" x14ac:dyDescent="0.3">
      <c r="H96" s="15" t="s">
        <v>204</v>
      </c>
      <c r="I96">
        <v>25241</v>
      </c>
    </row>
    <row r="97" spans="8:9" x14ac:dyDescent="0.3">
      <c r="H97" s="15" t="s">
        <v>169</v>
      </c>
      <c r="I97">
        <v>6538</v>
      </c>
    </row>
    <row r="98" spans="8:9" x14ac:dyDescent="0.3">
      <c r="H98" s="15" t="s">
        <v>238</v>
      </c>
      <c r="I98">
        <v>231599</v>
      </c>
    </row>
    <row r="99" spans="8:9" x14ac:dyDescent="0.3">
      <c r="H99" s="15" t="s">
        <v>380</v>
      </c>
      <c r="I99">
        <v>42576</v>
      </c>
    </row>
    <row r="100" spans="8:9" x14ac:dyDescent="0.3">
      <c r="H100" s="15" t="s">
        <v>39</v>
      </c>
      <c r="I100">
        <v>160490</v>
      </c>
    </row>
    <row r="101" spans="8:9" x14ac:dyDescent="0.3">
      <c r="H101" s="15" t="s">
        <v>633</v>
      </c>
      <c r="I101">
        <v>134982</v>
      </c>
    </row>
    <row r="102" spans="8:9" x14ac:dyDescent="0.3">
      <c r="H102" s="15" t="s">
        <v>208</v>
      </c>
      <c r="I102">
        <v>101603</v>
      </c>
    </row>
    <row r="103" spans="8:9" x14ac:dyDescent="0.3">
      <c r="H103" s="15" t="s">
        <v>49</v>
      </c>
      <c r="I103">
        <v>5714</v>
      </c>
    </row>
    <row r="104" spans="8:9" x14ac:dyDescent="0.3">
      <c r="H104" s="15" t="s">
        <v>332</v>
      </c>
      <c r="I104">
        <v>22759</v>
      </c>
    </row>
    <row r="105" spans="8:9" x14ac:dyDescent="0.3">
      <c r="H105" s="15" t="s">
        <v>299</v>
      </c>
      <c r="I105">
        <v>3643</v>
      </c>
    </row>
    <row r="106" spans="8:9" x14ac:dyDescent="0.3">
      <c r="H106" s="15" t="s">
        <v>215</v>
      </c>
      <c r="I106">
        <v>38081</v>
      </c>
    </row>
    <row r="107" spans="8:9" x14ac:dyDescent="0.3">
      <c r="H107" s="15" t="s">
        <v>493</v>
      </c>
      <c r="I107">
        <v>6182</v>
      </c>
    </row>
    <row r="108" spans="8:9" x14ac:dyDescent="0.3">
      <c r="H108" s="15" t="s">
        <v>706</v>
      </c>
      <c r="I108">
        <v>10505</v>
      </c>
    </row>
    <row r="109" spans="8:9" x14ac:dyDescent="0.3">
      <c r="H109" s="15" t="s">
        <v>252</v>
      </c>
      <c r="I109">
        <v>98484</v>
      </c>
    </row>
    <row r="110" spans="8:9" x14ac:dyDescent="0.3">
      <c r="H110" s="15" t="s">
        <v>347</v>
      </c>
      <c r="I110">
        <v>34932</v>
      </c>
    </row>
    <row r="111" spans="8:9" x14ac:dyDescent="0.3">
      <c r="H111" s="15" t="s">
        <v>173</v>
      </c>
      <c r="I111">
        <v>74374</v>
      </c>
    </row>
    <row r="112" spans="8:9" x14ac:dyDescent="0.3">
      <c r="H112" s="15" t="s">
        <v>277</v>
      </c>
      <c r="I112">
        <v>4261</v>
      </c>
    </row>
    <row r="113" spans="8:9" x14ac:dyDescent="0.3">
      <c r="H113" s="15" t="s">
        <v>389</v>
      </c>
      <c r="I113">
        <v>54338</v>
      </c>
    </row>
    <row r="114" spans="8:9" x14ac:dyDescent="0.3">
      <c r="H114" s="15" t="s">
        <v>670</v>
      </c>
      <c r="I114">
        <v>1855</v>
      </c>
    </row>
    <row r="115" spans="8:9" x14ac:dyDescent="0.3">
      <c r="H115" s="15" t="s">
        <v>306</v>
      </c>
      <c r="I115">
        <v>33661</v>
      </c>
    </row>
    <row r="116" spans="8:9" x14ac:dyDescent="0.3">
      <c r="H116" s="15" t="s">
        <v>202</v>
      </c>
      <c r="I116">
        <v>30802</v>
      </c>
    </row>
    <row r="117" spans="8:9" x14ac:dyDescent="0.3">
      <c r="H117" s="15" t="s">
        <v>43</v>
      </c>
      <c r="I117">
        <v>5927</v>
      </c>
    </row>
    <row r="118" spans="8:9" x14ac:dyDescent="0.3">
      <c r="H118" s="15" t="s">
        <v>518</v>
      </c>
      <c r="I118">
        <v>32575</v>
      </c>
    </row>
    <row r="119" spans="8:9" x14ac:dyDescent="0.3">
      <c r="H119" s="15" t="s">
        <v>384</v>
      </c>
      <c r="I119">
        <v>13643</v>
      </c>
    </row>
    <row r="120" spans="8:9" x14ac:dyDescent="0.3">
      <c r="H120" s="15" t="s">
        <v>197</v>
      </c>
      <c r="I120">
        <v>32792</v>
      </c>
    </row>
    <row r="121" spans="8:9" x14ac:dyDescent="0.3">
      <c r="H121" s="15" t="s">
        <v>455</v>
      </c>
      <c r="I121">
        <v>19553</v>
      </c>
    </row>
    <row r="122" spans="8:9" x14ac:dyDescent="0.3">
      <c r="H122" s="15" t="s">
        <v>534</v>
      </c>
      <c r="I122">
        <v>15577</v>
      </c>
    </row>
    <row r="123" spans="8:9" x14ac:dyDescent="0.3">
      <c r="H123" s="15" t="s">
        <v>92</v>
      </c>
      <c r="I123">
        <v>231826</v>
      </c>
    </row>
    <row r="124" spans="8:9" x14ac:dyDescent="0.3">
      <c r="H124" s="15" t="s">
        <v>637</v>
      </c>
      <c r="I124">
        <v>51298</v>
      </c>
    </row>
    <row r="125" spans="8:9" x14ac:dyDescent="0.3">
      <c r="H125" s="15" t="s">
        <v>373</v>
      </c>
      <c r="I125">
        <v>3305</v>
      </c>
    </row>
    <row r="126" spans="8:9" x14ac:dyDescent="0.3">
      <c r="H126" s="15" t="s">
        <v>284</v>
      </c>
      <c r="I126">
        <v>13881</v>
      </c>
    </row>
    <row r="127" spans="8:9" x14ac:dyDescent="0.3">
      <c r="H127" s="15" t="s">
        <v>693</v>
      </c>
      <c r="I127">
        <v>43946</v>
      </c>
    </row>
    <row r="128" spans="8:9" x14ac:dyDescent="0.3">
      <c r="H128" s="15" t="s">
        <v>639</v>
      </c>
      <c r="I128">
        <v>11784</v>
      </c>
    </row>
    <row r="129" spans="8:9" x14ac:dyDescent="0.3">
      <c r="H129" s="15" t="s">
        <v>429</v>
      </c>
      <c r="I129">
        <v>104255</v>
      </c>
    </row>
    <row r="130" spans="8:9" x14ac:dyDescent="0.3">
      <c r="H130" s="15" t="s">
        <v>441</v>
      </c>
      <c r="I130">
        <v>47617</v>
      </c>
    </row>
    <row r="131" spans="8:9" x14ac:dyDescent="0.3">
      <c r="H131" s="15" t="s">
        <v>189</v>
      </c>
      <c r="I131">
        <v>5134</v>
      </c>
    </row>
    <row r="132" spans="8:9" x14ac:dyDescent="0.3">
      <c r="H132" s="15" t="s">
        <v>288</v>
      </c>
      <c r="I132">
        <v>13408</v>
      </c>
    </row>
    <row r="133" spans="8:9" x14ac:dyDescent="0.3">
      <c r="H133" s="15" t="s">
        <v>650</v>
      </c>
      <c r="I133">
        <v>3359</v>
      </c>
    </row>
    <row r="134" spans="8:9" x14ac:dyDescent="0.3">
      <c r="H134" s="15" t="s">
        <v>450</v>
      </c>
      <c r="I134">
        <v>12077</v>
      </c>
    </row>
    <row r="135" spans="8:9" x14ac:dyDescent="0.3">
      <c r="H135" s="15" t="s">
        <v>679</v>
      </c>
      <c r="I135">
        <v>48062</v>
      </c>
    </row>
    <row r="136" spans="8:9" x14ac:dyDescent="0.3">
      <c r="H136" s="15" t="s">
        <v>41</v>
      </c>
      <c r="I136">
        <v>30491</v>
      </c>
    </row>
    <row r="137" spans="8:9" x14ac:dyDescent="0.3">
      <c r="H137" s="15" t="s">
        <v>490</v>
      </c>
      <c r="I137">
        <v>8126</v>
      </c>
    </row>
    <row r="138" spans="8:9" x14ac:dyDescent="0.3">
      <c r="H138" s="15" t="s">
        <v>101</v>
      </c>
      <c r="I138">
        <v>18082</v>
      </c>
    </row>
    <row r="139" spans="8:9" x14ac:dyDescent="0.3">
      <c r="H139" s="15" t="s">
        <v>575</v>
      </c>
      <c r="I139">
        <v>439090</v>
      </c>
    </row>
    <row r="140" spans="8:9" x14ac:dyDescent="0.3">
      <c r="H140" s="15" t="s">
        <v>495</v>
      </c>
      <c r="I140">
        <v>21569</v>
      </c>
    </row>
    <row r="141" spans="8:9" x14ac:dyDescent="0.3">
      <c r="H141" s="15" t="s">
        <v>631</v>
      </c>
      <c r="I141">
        <v>34338</v>
      </c>
    </row>
    <row r="142" spans="8:9" x14ac:dyDescent="0.3">
      <c r="H142" s="15" t="s">
        <v>501</v>
      </c>
      <c r="I142">
        <v>138650</v>
      </c>
    </row>
    <row r="143" spans="8:9" x14ac:dyDescent="0.3">
      <c r="H143" s="15" t="s">
        <v>271</v>
      </c>
      <c r="I143">
        <v>54330</v>
      </c>
    </row>
    <row r="144" spans="8:9" x14ac:dyDescent="0.3">
      <c r="H144" s="15" t="s">
        <v>156</v>
      </c>
      <c r="I144">
        <v>10215</v>
      </c>
    </row>
    <row r="145" spans="8:9" x14ac:dyDescent="0.3">
      <c r="H145" s="15" t="s">
        <v>195</v>
      </c>
      <c r="I145">
        <v>559430</v>
      </c>
    </row>
    <row r="146" spans="8:9" x14ac:dyDescent="0.3">
      <c r="H146" s="15" t="s">
        <v>262</v>
      </c>
      <c r="I146">
        <v>17147</v>
      </c>
    </row>
    <row r="147" spans="8:9" x14ac:dyDescent="0.3">
      <c r="H147" s="15" t="s">
        <v>47</v>
      </c>
      <c r="I147">
        <v>40264</v>
      </c>
    </row>
    <row r="148" spans="8:9" x14ac:dyDescent="0.3">
      <c r="H148" s="15" t="s">
        <v>243</v>
      </c>
      <c r="I148">
        <v>42366</v>
      </c>
    </row>
    <row r="149" spans="8:9" x14ac:dyDescent="0.3">
      <c r="H149" s="15" t="s">
        <v>150</v>
      </c>
      <c r="I149">
        <v>379401</v>
      </c>
    </row>
    <row r="150" spans="8:9" x14ac:dyDescent="0.3">
      <c r="H150" s="15" t="s">
        <v>691</v>
      </c>
      <c r="I150">
        <v>4856</v>
      </c>
    </row>
    <row r="151" spans="8:9" x14ac:dyDescent="0.3">
      <c r="H151" s="15" t="s">
        <v>89</v>
      </c>
      <c r="I151">
        <v>15673</v>
      </c>
    </row>
    <row r="152" spans="8:9" x14ac:dyDescent="0.3">
      <c r="H152" s="15" t="s">
        <v>434</v>
      </c>
      <c r="I152">
        <v>5925</v>
      </c>
    </row>
    <row r="153" spans="8:9" x14ac:dyDescent="0.3">
      <c r="H153" s="15" t="s">
        <v>408</v>
      </c>
      <c r="I153">
        <v>28389</v>
      </c>
    </row>
    <row r="154" spans="8:9" x14ac:dyDescent="0.3">
      <c r="H154" s="15" t="s">
        <v>264</v>
      </c>
      <c r="I154">
        <v>16361</v>
      </c>
    </row>
    <row r="155" spans="8:9" x14ac:dyDescent="0.3">
      <c r="H155" s="15" t="s">
        <v>222</v>
      </c>
      <c r="I155">
        <v>43330</v>
      </c>
    </row>
    <row r="156" spans="8:9" x14ac:dyDescent="0.3">
      <c r="H156" s="15" t="s">
        <v>542</v>
      </c>
      <c r="I156">
        <v>71674</v>
      </c>
    </row>
    <row r="157" spans="8:9" x14ac:dyDescent="0.3">
      <c r="H157" s="15" t="s">
        <v>310</v>
      </c>
      <c r="I157">
        <v>420337</v>
      </c>
    </row>
    <row r="158" spans="8:9" x14ac:dyDescent="0.3">
      <c r="H158" s="15" t="s">
        <v>87</v>
      </c>
      <c r="I158">
        <v>335106</v>
      </c>
    </row>
    <row r="159" spans="8:9" x14ac:dyDescent="0.3">
      <c r="H159" s="15" t="s">
        <v>525</v>
      </c>
      <c r="I159">
        <v>101847</v>
      </c>
    </row>
    <row r="160" spans="8:9" x14ac:dyDescent="0.3">
      <c r="H160" s="15" t="s">
        <v>94</v>
      </c>
      <c r="I160">
        <v>20021</v>
      </c>
    </row>
    <row r="161" spans="8:9" x14ac:dyDescent="0.3">
      <c r="H161" s="15" t="s">
        <v>642</v>
      </c>
      <c r="I161">
        <v>24805</v>
      </c>
    </row>
    <row r="162" spans="8:9" x14ac:dyDescent="0.3">
      <c r="H162" s="15" t="s">
        <v>73</v>
      </c>
      <c r="I162">
        <v>28747</v>
      </c>
    </row>
    <row r="163" spans="8:9" x14ac:dyDescent="0.3">
      <c r="H163" s="15" t="s">
        <v>293</v>
      </c>
      <c r="I163">
        <v>25439</v>
      </c>
    </row>
    <row r="164" spans="8:9" x14ac:dyDescent="0.3">
      <c r="H164" s="15" t="s">
        <v>167</v>
      </c>
      <c r="I164">
        <v>18632</v>
      </c>
    </row>
    <row r="165" spans="8:9" x14ac:dyDescent="0.3">
      <c r="H165" s="15" t="s">
        <v>105</v>
      </c>
      <c r="I165">
        <v>360610</v>
      </c>
    </row>
    <row r="166" spans="8:9" x14ac:dyDescent="0.3">
      <c r="H166" s="15" t="s">
        <v>82</v>
      </c>
      <c r="I166">
        <v>8189</v>
      </c>
    </row>
    <row r="167" spans="8:9" x14ac:dyDescent="0.3">
      <c r="H167" s="15" t="s">
        <v>60</v>
      </c>
      <c r="I167">
        <v>7013</v>
      </c>
    </row>
    <row r="168" spans="8:9" x14ac:dyDescent="0.3">
      <c r="H168" s="15" t="s">
        <v>624</v>
      </c>
      <c r="I168">
        <v>56188</v>
      </c>
    </row>
    <row r="169" spans="8:9" x14ac:dyDescent="0.3">
      <c r="H169" s="15" t="s">
        <v>152</v>
      </c>
      <c r="I169">
        <v>27336</v>
      </c>
    </row>
    <row r="170" spans="8:9" x14ac:dyDescent="0.3">
      <c r="H170" s="15" t="s">
        <v>477</v>
      </c>
      <c r="I170">
        <v>15883</v>
      </c>
    </row>
    <row r="171" spans="8:9" x14ac:dyDescent="0.3">
      <c r="H171" s="15" t="s">
        <v>129</v>
      </c>
      <c r="I171">
        <v>19731</v>
      </c>
    </row>
    <row r="172" spans="8:9" x14ac:dyDescent="0.3">
      <c r="H172" s="15" t="s">
        <v>530</v>
      </c>
      <c r="I172">
        <v>25441</v>
      </c>
    </row>
    <row r="173" spans="8:9" x14ac:dyDescent="0.3">
      <c r="H173" s="15" t="s">
        <v>260</v>
      </c>
      <c r="I173">
        <v>13288</v>
      </c>
    </row>
    <row r="174" spans="8:9" x14ac:dyDescent="0.3">
      <c r="H174" s="15" t="s">
        <v>324</v>
      </c>
      <c r="I174">
        <v>188896</v>
      </c>
    </row>
    <row r="175" spans="8:9" x14ac:dyDescent="0.3">
      <c r="H175" s="15" t="s">
        <v>699</v>
      </c>
      <c r="I175">
        <v>33801</v>
      </c>
    </row>
    <row r="176" spans="8:9" x14ac:dyDescent="0.3">
      <c r="H176" s="15" t="s">
        <v>224</v>
      </c>
      <c r="I176">
        <v>19860</v>
      </c>
    </row>
    <row r="177" spans="8:9" x14ac:dyDescent="0.3">
      <c r="H177" s="15" t="s">
        <v>396</v>
      </c>
      <c r="I177">
        <v>126928</v>
      </c>
    </row>
    <row r="178" spans="8:9" x14ac:dyDescent="0.3">
      <c r="H178" s="15" t="s">
        <v>140</v>
      </c>
      <c r="I178">
        <v>298017</v>
      </c>
    </row>
    <row r="179" spans="8:9" x14ac:dyDescent="0.3">
      <c r="H179" s="15" t="s">
        <v>220</v>
      </c>
      <c r="I179">
        <v>48329</v>
      </c>
    </row>
    <row r="180" spans="8:9" x14ac:dyDescent="0.3">
      <c r="H180" s="15" t="s">
        <v>12</v>
      </c>
      <c r="I180">
        <v>4418497</v>
      </c>
    </row>
    <row r="181" spans="8:9" x14ac:dyDescent="0.3">
      <c r="H181" s="15" t="s">
        <v>117</v>
      </c>
      <c r="I181">
        <v>487770</v>
      </c>
    </row>
    <row r="182" spans="8:9" x14ac:dyDescent="0.3">
      <c r="H182" s="15" t="s">
        <v>351</v>
      </c>
      <c r="I182">
        <v>149289</v>
      </c>
    </row>
    <row r="183" spans="8:9" x14ac:dyDescent="0.3">
      <c r="H183" s="15" t="s">
        <v>56</v>
      </c>
      <c r="I183">
        <v>174650</v>
      </c>
    </row>
    <row r="184" spans="8:9" x14ac:dyDescent="0.3">
      <c r="H184" s="15" t="s">
        <v>145</v>
      </c>
      <c r="I184">
        <v>39119</v>
      </c>
    </row>
    <row r="185" spans="8:9" x14ac:dyDescent="0.3">
      <c r="H185" s="15" t="s">
        <v>546</v>
      </c>
      <c r="I185">
        <v>52119</v>
      </c>
    </row>
    <row r="186" spans="8:9" x14ac:dyDescent="0.3">
      <c r="H186" s="15" t="s">
        <v>97</v>
      </c>
      <c r="I186">
        <v>14107</v>
      </c>
    </row>
    <row r="187" spans="8:9" x14ac:dyDescent="0.3">
      <c r="H187" s="15" t="s">
        <v>473</v>
      </c>
      <c r="I187">
        <v>3770</v>
      </c>
    </row>
    <row r="188" spans="8:9" x14ac:dyDescent="0.3">
      <c r="H188" s="15" t="s">
        <v>503</v>
      </c>
      <c r="I188">
        <v>13165</v>
      </c>
    </row>
    <row r="189" spans="8:9" x14ac:dyDescent="0.3">
      <c r="H189" s="15" t="s">
        <v>51</v>
      </c>
      <c r="I189">
        <v>43958</v>
      </c>
    </row>
    <row r="190" spans="8:9" x14ac:dyDescent="0.3">
      <c r="H190" s="15" t="s">
        <v>291</v>
      </c>
      <c r="I190">
        <v>17189</v>
      </c>
    </row>
    <row r="191" spans="8:9" x14ac:dyDescent="0.3">
      <c r="H191" s="15" t="s">
        <v>507</v>
      </c>
      <c r="I191">
        <v>28388</v>
      </c>
    </row>
    <row r="192" spans="8:9" x14ac:dyDescent="0.3">
      <c r="H192" s="15" t="s">
        <v>302</v>
      </c>
      <c r="I192">
        <v>34259</v>
      </c>
    </row>
    <row r="193" spans="8:9" x14ac:dyDescent="0.3">
      <c r="H193" s="15" t="s">
        <v>147</v>
      </c>
      <c r="I193">
        <v>12299</v>
      </c>
    </row>
    <row r="194" spans="8:9" x14ac:dyDescent="0.3">
      <c r="H194" s="15" t="s">
        <v>286</v>
      </c>
      <c r="I194">
        <v>1273</v>
      </c>
    </row>
    <row r="195" spans="8:9" x14ac:dyDescent="0.3">
      <c r="H195" s="15" t="s">
        <v>369</v>
      </c>
      <c r="I195">
        <v>266948</v>
      </c>
    </row>
    <row r="196" spans="8:9" x14ac:dyDescent="0.3">
      <c r="H196" s="15" t="s">
        <v>711</v>
      </c>
      <c r="I196">
        <v>383200</v>
      </c>
    </row>
    <row r="197" spans="8:9" x14ac:dyDescent="0.3">
      <c r="H197" s="15" t="s">
        <v>393</v>
      </c>
      <c r="I197">
        <v>415151</v>
      </c>
    </row>
    <row r="198" spans="8:9" x14ac:dyDescent="0.3">
      <c r="H198" s="15" t="s">
        <v>184</v>
      </c>
      <c r="I198">
        <v>17325</v>
      </c>
    </row>
    <row r="199" spans="8:9" x14ac:dyDescent="0.3">
      <c r="H199" s="15" t="s">
        <v>328</v>
      </c>
      <c r="I199">
        <v>42695</v>
      </c>
    </row>
    <row r="200" spans="8:9" x14ac:dyDescent="0.3">
      <c r="H200" s="15" t="s">
        <v>154</v>
      </c>
      <c r="I200">
        <v>14054</v>
      </c>
    </row>
    <row r="201" spans="8:9" x14ac:dyDescent="0.3">
      <c r="H201" s="15" t="s">
        <v>479</v>
      </c>
      <c r="I201">
        <v>7058</v>
      </c>
    </row>
    <row r="202" spans="8:9" x14ac:dyDescent="0.3">
      <c r="H202" s="15" t="s">
        <v>191</v>
      </c>
      <c r="I202">
        <v>354700</v>
      </c>
    </row>
    <row r="203" spans="8:9" x14ac:dyDescent="0.3">
      <c r="H203" s="15" t="s">
        <v>58</v>
      </c>
      <c r="I203">
        <v>69267</v>
      </c>
    </row>
    <row r="204" spans="8:9" x14ac:dyDescent="0.3">
      <c r="H204" s="15" t="s">
        <v>187</v>
      </c>
      <c r="I204">
        <v>14445</v>
      </c>
    </row>
    <row r="205" spans="8:9" x14ac:dyDescent="0.3">
      <c r="H205" s="15" t="s">
        <v>485</v>
      </c>
      <c r="I205">
        <v>50320</v>
      </c>
    </row>
    <row r="206" spans="8:9" x14ac:dyDescent="0.3">
      <c r="H206" s="15" t="s">
        <v>596</v>
      </c>
      <c r="I206">
        <v>39638</v>
      </c>
    </row>
    <row r="207" spans="8:9" x14ac:dyDescent="0.3">
      <c r="H207" s="15" t="s">
        <v>178</v>
      </c>
      <c r="I207">
        <v>94249</v>
      </c>
    </row>
    <row r="208" spans="8:9" x14ac:dyDescent="0.3">
      <c r="H208" s="15" t="s">
        <v>654</v>
      </c>
      <c r="I208">
        <v>17935</v>
      </c>
    </row>
    <row r="209" spans="8:9" x14ac:dyDescent="0.3">
      <c r="H209" s="15" t="s">
        <v>666</v>
      </c>
      <c r="I209">
        <v>25548</v>
      </c>
    </row>
    <row r="210" spans="8:9" x14ac:dyDescent="0.3">
      <c r="H210" s="15" t="s">
        <v>232</v>
      </c>
      <c r="I210">
        <v>43428</v>
      </c>
    </row>
    <row r="211" spans="8:9" x14ac:dyDescent="0.3">
      <c r="H211" s="15" t="s">
        <v>608</v>
      </c>
      <c r="I211">
        <v>119151</v>
      </c>
    </row>
    <row r="212" spans="8:9" x14ac:dyDescent="0.3">
      <c r="H212" s="15" t="s">
        <v>108</v>
      </c>
      <c r="I212">
        <v>230115</v>
      </c>
    </row>
    <row r="213" spans="8:9" x14ac:dyDescent="0.3">
      <c r="H213" s="15" t="s">
        <v>559</v>
      </c>
      <c r="I213">
        <v>50230</v>
      </c>
    </row>
    <row r="214" spans="8:9" x14ac:dyDescent="0.3">
      <c r="H214" s="15" t="s">
        <v>664</v>
      </c>
      <c r="I214">
        <v>35045</v>
      </c>
    </row>
    <row r="215" spans="8:9" x14ac:dyDescent="0.3">
      <c r="H215" s="15" t="s">
        <v>212</v>
      </c>
      <c r="I215">
        <v>214342</v>
      </c>
    </row>
    <row r="216" spans="8:9" x14ac:dyDescent="0.3">
      <c r="H216" s="15" t="s">
        <v>37</v>
      </c>
      <c r="I216">
        <v>408091</v>
      </c>
    </row>
    <row r="217" spans="8:9" x14ac:dyDescent="0.3">
      <c r="H217" s="15" t="s">
        <v>497</v>
      </c>
      <c r="I217">
        <v>621764</v>
      </c>
    </row>
    <row r="218" spans="8:9" x14ac:dyDescent="0.3">
      <c r="H218" s="15" t="s">
        <v>80</v>
      </c>
      <c r="I218">
        <v>8562</v>
      </c>
    </row>
    <row r="219" spans="8:9" x14ac:dyDescent="0.3">
      <c r="H219" s="15" t="s">
        <v>544</v>
      </c>
      <c r="I219">
        <v>152627</v>
      </c>
    </row>
    <row r="220" spans="8:9" x14ac:dyDescent="0.3">
      <c r="H220" s="15" t="s">
        <v>662</v>
      </c>
      <c r="I220">
        <v>541824</v>
      </c>
    </row>
    <row r="221" spans="8:9" x14ac:dyDescent="0.3">
      <c r="H221" s="15" t="s">
        <v>180</v>
      </c>
      <c r="I221">
        <v>150717</v>
      </c>
    </row>
    <row r="222" spans="8:9" x14ac:dyDescent="0.3">
      <c r="H222" s="15" t="s">
        <v>406</v>
      </c>
      <c r="I222">
        <v>54114</v>
      </c>
    </row>
    <row r="223" spans="8:9" x14ac:dyDescent="0.3">
      <c r="H223" s="15" t="s">
        <v>658</v>
      </c>
      <c r="I223">
        <v>56057</v>
      </c>
    </row>
    <row r="224" spans="8:9" x14ac:dyDescent="0.3">
      <c r="H224" s="15" t="s">
        <v>257</v>
      </c>
      <c r="I224">
        <v>52255</v>
      </c>
    </row>
    <row r="225" spans="8:9" x14ac:dyDescent="0.3">
      <c r="H225" s="15" t="s">
        <v>505</v>
      </c>
      <c r="I225">
        <v>44672</v>
      </c>
    </row>
    <row r="226" spans="8:9" x14ac:dyDescent="0.3">
      <c r="H226" s="15" t="s">
        <v>672</v>
      </c>
      <c r="I226">
        <v>11959</v>
      </c>
    </row>
    <row r="227" spans="8:9" x14ac:dyDescent="0.3">
      <c r="H227" s="15" t="s">
        <v>359</v>
      </c>
      <c r="I227">
        <v>18472</v>
      </c>
    </row>
    <row r="228" spans="8:9" x14ac:dyDescent="0.3">
      <c r="H228" s="15" t="s">
        <v>448</v>
      </c>
      <c r="I228">
        <v>9648</v>
      </c>
    </row>
    <row r="229" spans="8:9" x14ac:dyDescent="0.3">
      <c r="H229" s="15" t="s">
        <v>122</v>
      </c>
      <c r="I229">
        <v>323115</v>
      </c>
    </row>
    <row r="230" spans="8:9" x14ac:dyDescent="0.3">
      <c r="H230" s="15" t="s">
        <v>182</v>
      </c>
      <c r="I230">
        <v>366256</v>
      </c>
    </row>
    <row r="231" spans="8:9" x14ac:dyDescent="0.3">
      <c r="H231" s="15" t="s">
        <v>336</v>
      </c>
      <c r="I231">
        <v>29452</v>
      </c>
    </row>
    <row r="232" spans="8:9" x14ac:dyDescent="0.3">
      <c r="H232" s="15" t="s">
        <v>67</v>
      </c>
      <c r="I232">
        <v>28413</v>
      </c>
    </row>
    <row r="233" spans="8:9" x14ac:dyDescent="0.3">
      <c r="H233" s="15" t="s">
        <v>217</v>
      </c>
      <c r="I233">
        <v>203136</v>
      </c>
    </row>
    <row r="234" spans="8:9" x14ac:dyDescent="0.3">
      <c r="H234" s="15" t="s">
        <v>523</v>
      </c>
      <c r="I234">
        <v>3138</v>
      </c>
    </row>
    <row r="235" spans="8:9" x14ac:dyDescent="0.3">
      <c r="H235" s="15" t="s">
        <v>402</v>
      </c>
      <c r="I235">
        <v>13704</v>
      </c>
    </row>
    <row r="236" spans="8:9" x14ac:dyDescent="0.3">
      <c r="H236" s="15" t="s">
        <v>356</v>
      </c>
      <c r="I236">
        <v>56938</v>
      </c>
    </row>
    <row r="237" spans="8:9" x14ac:dyDescent="0.3">
      <c r="H237" s="15" t="s">
        <v>582</v>
      </c>
      <c r="I237">
        <v>10099</v>
      </c>
    </row>
    <row r="238" spans="8:9" x14ac:dyDescent="0.3">
      <c r="H238" s="15" t="s">
        <v>142</v>
      </c>
      <c r="I238">
        <v>144718</v>
      </c>
    </row>
    <row r="239" spans="8:9" x14ac:dyDescent="0.3">
      <c r="H239" s="15" t="s">
        <v>115</v>
      </c>
      <c r="I239">
        <v>270906</v>
      </c>
    </row>
    <row r="240" spans="8:9" x14ac:dyDescent="0.3">
      <c r="H240" s="15" t="s">
        <v>439</v>
      </c>
      <c r="I240">
        <v>11709</v>
      </c>
    </row>
    <row r="241" spans="8:9" x14ac:dyDescent="0.3">
      <c r="H241" s="15" t="s">
        <v>304</v>
      </c>
      <c r="I241">
        <v>22946</v>
      </c>
    </row>
    <row r="242" spans="8:9" x14ac:dyDescent="0.3">
      <c r="H242" s="15" t="s">
        <v>475</v>
      </c>
      <c r="I242">
        <v>614223</v>
      </c>
    </row>
    <row r="243" spans="8:9" x14ac:dyDescent="0.3">
      <c r="H243" s="15" t="s">
        <v>175</v>
      </c>
      <c r="I243">
        <v>59511</v>
      </c>
    </row>
    <row r="244" spans="8:9" x14ac:dyDescent="0.3">
      <c r="H244" s="15" t="s">
        <v>682</v>
      </c>
      <c r="I244">
        <v>11968</v>
      </c>
    </row>
    <row r="245" spans="8:9" x14ac:dyDescent="0.3">
      <c r="H245" s="15" t="s">
        <v>162</v>
      </c>
      <c r="I245">
        <v>355614</v>
      </c>
    </row>
    <row r="246" spans="8:9" x14ac:dyDescent="0.3">
      <c r="H246" s="15" t="s">
        <v>410</v>
      </c>
      <c r="I246">
        <v>20374</v>
      </c>
    </row>
    <row r="247" spans="8:9" x14ac:dyDescent="0.3">
      <c r="H247" s="15" t="s">
        <v>668</v>
      </c>
      <c r="I247">
        <v>33807</v>
      </c>
    </row>
    <row r="248" spans="8:9" x14ac:dyDescent="0.3">
      <c r="H248" s="15" t="s">
        <v>415</v>
      </c>
      <c r="I248">
        <v>86888</v>
      </c>
    </row>
    <row r="249" spans="8:9" x14ac:dyDescent="0.3">
      <c r="H249" s="15" t="s">
        <v>322</v>
      </c>
      <c r="I249">
        <v>10210</v>
      </c>
    </row>
    <row r="250" spans="8:9" x14ac:dyDescent="0.3">
      <c r="H250" s="15" t="s">
        <v>563</v>
      </c>
      <c r="I250">
        <v>27518</v>
      </c>
    </row>
    <row r="251" spans="8:9" x14ac:dyDescent="0.3">
      <c r="H251" s="15" t="s">
        <v>585</v>
      </c>
      <c r="I251">
        <v>20748</v>
      </c>
    </row>
    <row r="252" spans="8:9" x14ac:dyDescent="0.3">
      <c r="H252" s="15" t="s">
        <v>577</v>
      </c>
      <c r="I252">
        <v>13521</v>
      </c>
    </row>
    <row r="253" spans="8:9" x14ac:dyDescent="0.3">
      <c r="H253" s="15" t="s">
        <v>193</v>
      </c>
      <c r="I253">
        <v>17744</v>
      </c>
    </row>
    <row r="254" spans="8:9" x14ac:dyDescent="0.3">
      <c r="H254" s="15" t="s">
        <v>230</v>
      </c>
      <c r="I254">
        <v>23340</v>
      </c>
    </row>
    <row r="255" spans="8:9" x14ac:dyDescent="0.3">
      <c r="H255" s="15" t="s">
        <v>353</v>
      </c>
      <c r="I255">
        <v>212372</v>
      </c>
    </row>
    <row r="256" spans="8:9" x14ac:dyDescent="0.3">
      <c r="H256" s="15" t="s">
        <v>382</v>
      </c>
      <c r="I256">
        <v>559220</v>
      </c>
    </row>
    <row r="257" spans="8:9" x14ac:dyDescent="0.3">
      <c r="H257" s="15" t="s">
        <v>236</v>
      </c>
      <c r="I257">
        <v>225198</v>
      </c>
    </row>
    <row r="258" spans="8:9" x14ac:dyDescent="0.3">
      <c r="H258" s="15" t="s">
        <v>571</v>
      </c>
      <c r="I258">
        <v>26761</v>
      </c>
    </row>
    <row r="259" spans="8:9" x14ac:dyDescent="0.3">
      <c r="H259" s="15" t="s">
        <v>330</v>
      </c>
      <c r="I259">
        <v>17403</v>
      </c>
    </row>
    <row r="260" spans="8:9" x14ac:dyDescent="0.3">
      <c r="H260" s="15" t="s">
        <v>400</v>
      </c>
      <c r="I260">
        <v>237155</v>
      </c>
    </row>
    <row r="261" spans="8:9" x14ac:dyDescent="0.3">
      <c r="H261" s="15" t="s">
        <v>273</v>
      </c>
      <c r="I261">
        <v>35838</v>
      </c>
    </row>
    <row r="262" spans="8:9" x14ac:dyDescent="0.3">
      <c r="H262" s="15" t="s">
        <v>510</v>
      </c>
      <c r="I262">
        <v>55756</v>
      </c>
    </row>
    <row r="263" spans="8:9" x14ac:dyDescent="0.3">
      <c r="H263" s="15" t="s">
        <v>603</v>
      </c>
      <c r="I263">
        <v>21783</v>
      </c>
    </row>
    <row r="264" spans="8:9" x14ac:dyDescent="0.3">
      <c r="H264" s="15" t="s">
        <v>69</v>
      </c>
      <c r="I264">
        <v>40630</v>
      </c>
    </row>
    <row r="265" spans="8:9" x14ac:dyDescent="0.3">
      <c r="H265" s="15" t="s">
        <v>423</v>
      </c>
      <c r="I265">
        <v>73967</v>
      </c>
    </row>
    <row r="266" spans="8:9" x14ac:dyDescent="0.3">
      <c r="H266" s="15" t="s">
        <v>417</v>
      </c>
      <c r="I266">
        <v>5499</v>
      </c>
    </row>
    <row r="267" spans="8:9" x14ac:dyDescent="0.3">
      <c r="H267" s="15" t="s">
        <v>297</v>
      </c>
      <c r="I267">
        <v>6680</v>
      </c>
    </row>
    <row r="268" spans="8:9" x14ac:dyDescent="0.3">
      <c r="H268" s="15" t="s">
        <v>569</v>
      </c>
      <c r="I268">
        <v>6040</v>
      </c>
    </row>
    <row r="269" spans="8:9" x14ac:dyDescent="0.3">
      <c r="H269" s="15" t="s">
        <v>53</v>
      </c>
      <c r="I269">
        <v>37575</v>
      </c>
    </row>
    <row r="270" spans="8:9" x14ac:dyDescent="0.3">
      <c r="H270" s="15" t="s">
        <v>245</v>
      </c>
      <c r="I270">
        <v>30213</v>
      </c>
    </row>
    <row r="271" spans="8:9" x14ac:dyDescent="0.3">
      <c r="H271" s="15" t="s">
        <v>206</v>
      </c>
      <c r="I271">
        <v>343514</v>
      </c>
    </row>
    <row r="272" spans="8:9" x14ac:dyDescent="0.3">
      <c r="H272" s="15" t="s">
        <v>599</v>
      </c>
      <c r="I272">
        <v>442114</v>
      </c>
    </row>
    <row r="273" spans="8:9" x14ac:dyDescent="0.3">
      <c r="H273" s="15" t="s">
        <v>646</v>
      </c>
      <c r="I273">
        <v>70671</v>
      </c>
    </row>
    <row r="274" spans="8:9" x14ac:dyDescent="0.3">
      <c r="H274" s="15" t="s">
        <v>371</v>
      </c>
      <c r="I274">
        <v>38035</v>
      </c>
    </row>
    <row r="275" spans="8:9" x14ac:dyDescent="0.3">
      <c r="H275" s="15" t="s">
        <v>579</v>
      </c>
      <c r="I275">
        <v>10481</v>
      </c>
    </row>
    <row r="276" spans="8:9" x14ac:dyDescent="0.3">
      <c r="H276" s="15" t="s">
        <v>120</v>
      </c>
      <c r="I276">
        <v>1675988</v>
      </c>
    </row>
    <row r="277" spans="8:9" x14ac:dyDescent="0.3">
      <c r="H277" s="15" t="s">
        <v>420</v>
      </c>
      <c r="I277">
        <v>41019</v>
      </c>
    </row>
    <row r="278" spans="8:9" x14ac:dyDescent="0.3">
      <c r="H278" s="15" t="s">
        <v>295</v>
      </c>
      <c r="I278">
        <v>9339</v>
      </c>
    </row>
    <row r="279" spans="8:9" x14ac:dyDescent="0.3">
      <c r="H279" s="15" t="s">
        <v>589</v>
      </c>
      <c r="I279">
        <v>142744</v>
      </c>
    </row>
    <row r="280" spans="8:9" x14ac:dyDescent="0.3">
      <c r="H280" s="15" t="s">
        <v>228</v>
      </c>
      <c r="I280">
        <v>16566</v>
      </c>
    </row>
    <row r="281" spans="8:9" x14ac:dyDescent="0.3">
      <c r="H281" s="15" t="s">
        <v>349</v>
      </c>
      <c r="I281">
        <v>66897</v>
      </c>
    </row>
    <row r="282" spans="8:9" x14ac:dyDescent="0.3">
      <c r="H282" s="15" t="s">
        <v>627</v>
      </c>
      <c r="I282">
        <v>18716</v>
      </c>
    </row>
    <row r="283" spans="8:9" x14ac:dyDescent="0.3">
      <c r="H283" s="15" t="s">
        <v>499</v>
      </c>
      <c r="I283">
        <v>79181</v>
      </c>
    </row>
    <row r="284" spans="8:9" x14ac:dyDescent="0.3">
      <c r="H284" s="15" t="s">
        <v>343</v>
      </c>
      <c r="I284">
        <v>14406</v>
      </c>
    </row>
    <row r="285" spans="8:9" x14ac:dyDescent="0.3">
      <c r="H285" s="15" t="s">
        <v>553</v>
      </c>
      <c r="I285">
        <v>3737</v>
      </c>
    </row>
    <row r="286" spans="8:9" x14ac:dyDescent="0.3">
      <c r="H286" s="15" t="s">
        <v>708</v>
      </c>
      <c r="I286">
        <v>246805</v>
      </c>
    </row>
    <row r="287" spans="8:9" x14ac:dyDescent="0.3">
      <c r="H287" s="15" t="s">
        <v>275</v>
      </c>
      <c r="I287">
        <v>6667</v>
      </c>
    </row>
    <row r="288" spans="8:9" x14ac:dyDescent="0.3">
      <c r="H288" s="15" t="s">
        <v>375</v>
      </c>
      <c r="I288">
        <v>1015979</v>
      </c>
    </row>
    <row r="289" spans="8:9" x14ac:dyDescent="0.3">
      <c r="H289" s="15" t="s">
        <v>164</v>
      </c>
      <c r="I289">
        <v>1224740</v>
      </c>
    </row>
    <row r="290" spans="8:9" x14ac:dyDescent="0.3">
      <c r="H290" s="15" t="s">
        <v>514</v>
      </c>
      <c r="I290">
        <v>14945</v>
      </c>
    </row>
    <row r="291" spans="8:9" x14ac:dyDescent="0.3">
      <c r="H291" s="15" t="s">
        <v>686</v>
      </c>
      <c r="I291">
        <v>118282</v>
      </c>
    </row>
    <row r="292" spans="8:9" x14ac:dyDescent="0.3">
      <c r="H292" s="15" t="s">
        <v>103</v>
      </c>
      <c r="I292">
        <v>21200</v>
      </c>
    </row>
    <row r="293" spans="8:9" x14ac:dyDescent="0.3">
      <c r="H293" s="15" t="s">
        <v>538</v>
      </c>
      <c r="I293">
        <v>27049</v>
      </c>
    </row>
    <row r="294" spans="8:9" x14ac:dyDescent="0.3">
      <c r="H294" s="15" t="s">
        <v>512</v>
      </c>
      <c r="I294">
        <v>38516</v>
      </c>
    </row>
    <row r="295" spans="8:9" x14ac:dyDescent="0.3">
      <c r="H295" s="15" t="s">
        <v>606</v>
      </c>
      <c r="I295">
        <v>20046</v>
      </c>
    </row>
    <row r="296" spans="8:9" x14ac:dyDescent="0.3">
      <c r="H296" s="15" t="s">
        <v>741</v>
      </c>
      <c r="I296">
        <v>32568773</v>
      </c>
    </row>
    <row r="297" spans="8:9" x14ac:dyDescent="0.3">
      <c r="H297" s="15" t="s">
        <v>739</v>
      </c>
      <c r="I297">
        <v>65137546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finance_customer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2026-05-27T07:09:55Z</dcterms:modified>
</cp:coreProperties>
</file>