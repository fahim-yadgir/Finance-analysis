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C1EB5F83-4362-4F58-8C1D-379F32A09359}" xr6:coauthVersionLast="47" xr6:coauthVersionMax="47" xr10:uidLastSave="{00000000-0000-0000-0000-000000000000}"/>
  <bookViews>
    <workbookView xWindow="-108" yWindow="-108" windowWidth="23256" windowHeight="12456" activeTab="1" xr2:uid="{9802DE5F-B1D8-4319-BDEA-30F1B831059A}"/>
  </bookViews>
  <sheets>
    <sheet name="Pivot Table" sheetId="2" r:id="rId1"/>
    <sheet name="finance_customer" sheetId="1" r:id="rId2"/>
  </sheets>
  <calcPr calcId="191029"/>
  <pivotCaches>
    <pivotCache cacheId="4" r:id="rId3"/>
    <pivotCache cacheId="1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" l="1" a="1"/>
  <c r="N40" i="1" s="1"/>
  <c r="N35" i="1" a="1"/>
  <c r="N35" i="1" s="1"/>
  <c r="N36" i="1" a="1"/>
  <c r="N36" i="1" s="1"/>
  <c r="N37" i="1" a="1"/>
  <c r="N37" i="1" s="1"/>
  <c r="N38" i="1" a="1"/>
  <c r="N38" i="1" s="1"/>
  <c r="N34" i="1" a="1"/>
  <c r="N34" i="1" s="1"/>
  <c r="Q7" i="1"/>
  <c r="N18" i="1" a="1"/>
  <c r="N18" i="1" s="1"/>
  <c r="N22" i="1" a="1"/>
  <c r="N22" i="1" s="1"/>
  <c r="N23" i="1" a="1"/>
  <c r="N23" i="1" s="1"/>
  <c r="N24" i="1" a="1"/>
  <c r="N24" i="1" s="1"/>
  <c r="N25" i="1" a="1"/>
  <c r="N25" i="1" s="1"/>
  <c r="N19" i="1" a="1"/>
  <c r="N19" i="1" s="1"/>
  <c r="N20" i="1" a="1"/>
  <c r="N20" i="1" s="1"/>
  <c r="N21" i="1" a="1"/>
  <c r="N21" i="1" s="1"/>
  <c r="N26" i="1" a="1"/>
  <c r="N26" i="1" s="1"/>
  <c r="P7" i="1"/>
  <c r="O7" i="1"/>
  <c r="N7" i="1"/>
  <c r="E395" i="1"/>
  <c r="F395" i="1"/>
  <c r="J395" i="1"/>
  <c r="K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<sst xmlns="http://schemas.openxmlformats.org/spreadsheetml/2006/main" count="3513" uniqueCount="748">
  <si>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</si>
  <si>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</si>
  <si>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</si>
  <si>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</si>
  <si>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</si>
  <si>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</si>
  <si>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</si>
  <si>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</si>
  <si>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</si>
  <si>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</si>
  <si>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</si>
  <si>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</si>
  <si>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</si>
  <si>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</si>
  <si>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</si>
  <si>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</si>
  <si>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</si>
  <si>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</si>
  <si>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</si>
  <si>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</si>
  <si>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</si>
  <si>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</si>
  <si>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</si>
  <si>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</si>
  <si>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</si>
  <si>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</si>
  <si>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</si>
  <si>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</si>
  <si>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</si>
  <si>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</si>
  <si>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</si>
  <si>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</si>
  <si>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</si>
  <si>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</si>
  <si>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</si>
  <si>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</si>
  <si>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</si>
  <si>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</si>
  <si>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</si>
  <si>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</si>
  <si>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</si>
  <si>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</si>
  <si>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</si>
  <si>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</si>
  <si>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</si>
  <si>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</si>
  <si>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</si>
  <si>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</si>
  <si>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</si>
  <si>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</si>
  <si>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</si>
  <si>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</si>
  <si>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</si>
  <si>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</si>
  <si>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</si>
  <si>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</si>
  <si>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</si>
  <si>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</si>
  <si>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</si>
  <si>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</si>
  <si>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</si>
  <si>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</si>
  <si>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</si>
  <si>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</si>
  <si>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</si>
  <si>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</si>
  <si>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</si>
  <si>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</si>
  <si>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</si>
  <si>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</si>
  <si>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</si>
  <si>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</si>
  <si>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</si>
  <si>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</si>
  <si>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</si>
  <si>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</si>
  <si>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</si>
  <si>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</si>
  <si>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</si>
  <si>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</si>
  <si>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</si>
  <si>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</si>
  <si>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</si>
  <si>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</si>
  <si>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</si>
  <si>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</si>
  <si>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</si>
  <si>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</si>
  <si>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</si>
  <si>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</si>
  <si>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</si>
  <si>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</si>
  <si>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</si>
  <si>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</si>
  <si>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</si>
  <si>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</si>
  <si>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</si>
  <si>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</si>
  <si>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</si>
  <si>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</si>
  <si>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</si>
  <si>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</si>
  <si>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</si>
  <si>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</si>
  <si>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</si>
  <si>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</si>
  <si>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</si>
  <si>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</si>
  <si>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</si>
  <si>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</si>
  <si>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</si>
  <si>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</si>
  <si>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</si>
  <si>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</si>
  <si>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</si>
  <si>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</si>
  <si>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</si>
  <si>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</si>
  <si>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</si>
  <si>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</si>
  <si>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</si>
  <si>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</si>
  <si>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</si>
  <si>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</si>
  <si>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</si>
  <si>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</si>
  <si>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</si>
  <si>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</si>
  <si>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</si>
  <si>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</si>
  <si>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</si>
  <si>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</si>
  <si>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</si>
  <si>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</si>
  <si>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</si>
  <si>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</si>
  <si>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</si>
  <si>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</si>
  <si>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</si>
  <si>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</si>
  <si>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</si>
  <si>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</si>
  <si>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</si>
  <si>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</si>
  <si>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</si>
  <si>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</si>
  <si>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</si>
  <si>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</si>
  <si>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</si>
  <si>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</si>
  <si>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</si>
  <si>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</si>
  <si>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</si>
  <si>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</si>
  <si>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</si>
  <si>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</si>
  <si>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</si>
  <si>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</si>
  <si>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</si>
  <si>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</si>
  <si>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</si>
  <si>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</si>
  <si>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</si>
  <si>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</si>
  <si>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</si>
  <si>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</si>
  <si>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</si>
  <si>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</si>
  <si>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</si>
  <si>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</si>
  <si>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</si>
  <si>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</si>
  <si>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</si>
  <si>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</si>
  <si>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</si>
  <si>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</si>
  <si>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</si>
  <si>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</si>
  <si>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</si>
  <si>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</si>
  <si>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</si>
  <si>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</si>
  <si>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</si>
  <si>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</si>
  <si>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</si>
  <si>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</si>
  <si>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</si>
  <si>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</si>
  <si>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</si>
  <si>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</si>
  <si>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</si>
  <si>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</si>
  <si>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</si>
  <si>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</si>
  <si>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</si>
  <si>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</si>
  <si>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</si>
  <si>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</si>
  <si>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</si>
  <si>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</si>
  <si>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</si>
  <si>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</si>
  <si>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</si>
  <si>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</si>
  <si>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</si>
  <si>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</si>
  <si>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</si>
  <si>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</si>
  <si>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</si>
  <si>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</si>
  <si>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</si>
  <si>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</si>
  <si>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</si>
  <si>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</si>
  <si>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</si>
  <si>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</si>
  <si>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</si>
  <si>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</si>
  <si>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</si>
  <si>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</si>
  <si>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</si>
  <si>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</si>
  <si>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</si>
  <si>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</si>
  <si>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</si>
  <si>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</si>
  <si>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</si>
  <si>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</si>
  <si>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</si>
  <si>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</si>
  <si>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</si>
  <si>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</si>
  <si>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</si>
  <si>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</si>
  <si>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</si>
  <si>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</si>
  <si>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</si>
  <si>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</si>
  <si>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</si>
  <si>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</si>
  <si>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</si>
  <si>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</si>
  <si>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</si>
  <si>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</si>
  <si>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</si>
  <si>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</si>
  <si>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</si>
  <si>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</si>
  <si>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</si>
  <si>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</si>
  <si>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</si>
  <si>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</si>
  <si>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</si>
  <si>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</si>
  <si>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</si>
  <si>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</si>
  <si>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</si>
  <si>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</si>
  <si>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</si>
  <si>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</si>
  <si>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</si>
  <si>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</si>
  <si>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</si>
  <si>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</si>
  <si>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</si>
  <si>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</si>
  <si>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</si>
  <si>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</si>
  <si>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</si>
  <si>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</si>
  <si>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</si>
  <si>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</si>
  <si>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</si>
  <si>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</si>
  <si>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</si>
  <si>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</si>
  <si>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</si>
  <si>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</si>
  <si>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</si>
  <si>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</si>
  <si>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</si>
  <si>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</si>
  <si>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</si>
  <si>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</si>
  <si>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</si>
  <si>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</si>
  <si>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</si>
  <si>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</si>
  <si>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</si>
  <si>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</si>
  <si>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</si>
  <si>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</si>
  <si>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</si>
  <si>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</si>
  <si>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</si>
  <si>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</si>
  <si>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</si>
  <si>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</si>
  <si>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</si>
  <si>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</si>
  <si>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</si>
  <si>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</si>
  <si>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</si>
  <si>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</si>
  <si>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</si>
  <si>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</si>
  <si>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</si>
  <si>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</si>
  <si>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</si>
  <si>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</si>
  <si>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</si>
  <si>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</si>
  <si>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</si>
  <si>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</si>
  <si>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</si>
  <si>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</si>
  <si>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</si>
  <si>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</si>
  <si>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</si>
  <si>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</si>
  <si>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</si>
  <si>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</si>
  <si>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</si>
  <si>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</si>
  <si>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</si>
  <si>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</si>
  <si>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</si>
  <si>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</si>
  <si>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</si>
  <si>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</si>
  <si>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</si>
  <si>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</si>
  <si>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</si>
  <si>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</si>
  <si>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</si>
  <si>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</si>
  <si>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</si>
  <si>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</si>
  <si>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</si>
  <si>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</si>
  <si>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</si>
  <si>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</si>
  <si>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</si>
  <si>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</si>
  <si>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</si>
  <si>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</si>
  <si>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</si>
  <si>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</si>
  <si>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</si>
  <si>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</si>
  <si>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</si>
  <si>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</si>
  <si>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</si>
  <si>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</si>
  <si>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</si>
  <si>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</si>
  <si>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</si>
  <si>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</si>
  <si>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</si>
  <si>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</si>
  <si>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</si>
  <si>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</si>
  <si>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</si>
  <si>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</si>
  <si>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</si>
  <si>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</si>
  <si>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</si>
  <si>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</si>
  <si>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</si>
  <si>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</si>
  <si>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</si>
  <si>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</si>
  <si>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</si>
  <si>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</si>
  <si>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</si>
  <si>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</si>
  <si>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</si>
  <si>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</si>
  <si>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</si>
  <si>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</si>
  <si>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</si>
  <si>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</si>
  <si>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</si>
  <si>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</si>
  <si>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</si>
  <si>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</si>
  <si>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</si>
  <si>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</si>
  <si>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</si>
  <si>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</si>
  <si>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</si>
  <si>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</si>
  <si>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</si>
  <si>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</si>
  <si>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</si>
  <si>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</si>
  <si>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</si>
  <si>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</si>
  <si>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</si>
  <si>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</si>
  <si>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</si>
  <si>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</si>
  <si>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</si>
  <si>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</si>
  <si>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</si>
  <si>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</si>
  <si>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</si>
  <si>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</si>
  <si>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</si>
  <si>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</si>
  <si>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</si>
  <si>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</si>
  <si>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</si>
  <si>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</si>
  <si>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</si>
  <si>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</si>
  <si>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</si>
  <si>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</si>
  <si>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</si>
  <si>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</si>
  <si>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</si>
  <si>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</si>
  <si>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</si>
  <si>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</si>
  <si>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</si>
  <si>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</si>
  <si>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</si>
  <si>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</si>
  <si>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</si>
  <si>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</si>
  <si>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</si>
  <si>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</si>
  <si>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</si>
  <si>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</si>
  <si>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</si>
  <si>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</si>
  <si>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</si>
  <si>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</si>
  <si>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</si>
  <si>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</si>
  <si>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</si>
  <si>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</si>
  <si>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</si>
  <si>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</si>
  <si>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</si>
  <si>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</si>
  <si>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</si>
  <si>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</si>
  <si>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</si>
  <si>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</si>
  <si>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</si>
  <si>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</si>
  <si>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</si>
  <si>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</si>
  <si>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</si>
  <si>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</si>
  <si>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</si>
  <si>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</si>
  <si>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</si>
  <si>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</si>
  <si>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</si>
  <si>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</si>
  <si>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</si>
  <si>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</si>
  <si>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</si>
  <si>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</si>
  <si>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</si>
  <si>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</si>
  <si>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</si>
  <si>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</si>
  <si>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</si>
  <si>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</si>
  <si>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</si>
  <si>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</si>
  <si>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</si>
  <si>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</si>
  <si>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</si>
  <si>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</si>
  <si>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</si>
  <si>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</si>
  <si>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</si>
  <si>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</si>
  <si>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</si>
  <si>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</si>
  <si>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</si>
  <si>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</si>
  <si>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</si>
  <si>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</si>
  <si>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</si>
  <si>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</si>
  <si>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</si>
  <si>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</si>
  <si>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</si>
  <si>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</si>
  <si>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</si>
  <si>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</si>
  <si>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</si>
  <si>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</si>
  <si>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</si>
  <si>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</si>
  <si>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</si>
  <si>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</si>
  <si>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</si>
  <si>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</si>
  <si>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</si>
  <si>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</si>
  <si>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</si>
  <si>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</si>
  <si>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</si>
  <si>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</si>
  <si>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</si>
  <si>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</si>
  <si>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</si>
  <si>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</si>
  <si>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</si>
  <si>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</si>
  <si>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</si>
  <si>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</si>
  <si>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</si>
  <si>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</si>
  <si>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</si>
  <si>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</si>
  <si>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</si>
  <si>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</si>
  <si>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</si>
  <si>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</si>
  <si>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</si>
  <si>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</si>
  <si>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</si>
  <si>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</si>
  <si>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</si>
  <si>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</si>
  <si>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</si>
  <si>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</si>
  <si>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</si>
  <si>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</si>
  <si>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</si>
  <si>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</si>
  <si>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</si>
  <si>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</si>
  <si>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</si>
  <si>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</si>
  <si>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</si>
  <si>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</si>
  <si>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</si>
  <si>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</si>
  <si>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</si>
  <si>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</si>
  <si>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</si>
  <si>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</si>
  <si>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</si>
  <si>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</si>
  <si>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</si>
  <si>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</si>
  <si>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</si>
  <si>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</si>
  <si>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</si>
  <si>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</si>
  <si>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</si>
  <si>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</si>
  <si>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</si>
  <si>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</si>
  <si>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</si>
  <si>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</si>
  <si>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</si>
  <si>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</si>
  <si>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</si>
  <si>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</si>
  <si>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</si>
  <si>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</si>
  <si>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</si>
  <si>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</si>
  <si>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</si>
  <si>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</si>
  <si>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</si>
  <si>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</si>
  <si>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</si>
  <si>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</si>
  <si>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</si>
  <si>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</si>
  <si>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</si>
  <si>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</si>
  <si>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</si>
  <si>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</si>
  <si>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</si>
  <si>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</si>
  <si>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</si>
  <si>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</si>
  <si>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</si>
  <si>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</si>
  <si>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</si>
  <si>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</si>
  <si>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</si>
  <si>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</si>
  <si>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</si>
  <si>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</si>
  <si>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</si>
  <si>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</si>
  <si>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</si>
  <si>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</si>
  <si>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</si>
  <si>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</si>
  <si>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</si>
  <si>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</si>
  <si>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</si>
  <si>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</si>
  <si>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</si>
  <si>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</si>
  <si>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</si>
  <si>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</si>
  <si>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</si>
  <si>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</si>
  <si>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</si>
  <si>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</si>
  <si>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</si>
  <si>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</si>
  <si>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</si>
  <si>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</si>
  <si>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</si>
  <si>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</si>
  <si>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</si>
  <si>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</si>
  <si>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</si>
  <si>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</si>
  <si>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</si>
  <si>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</si>
  <si>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</si>
  <si>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</si>
  <si>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</si>
  <si>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</si>
  <si>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</si>
  <si>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</si>
  <si>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</si>
  <si>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</si>
  <si>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</si>
  <si>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</si>
  <si>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</si>
  <si>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</si>
  <si>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</si>
  <si>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</si>
  <si>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</si>
  <si>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</si>
  <si>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</si>
  <si>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</si>
  <si>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</si>
  <si>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</si>
  <si>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</si>
  <si>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</si>
  <si>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</si>
  <si>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</si>
  <si>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</si>
  <si>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</si>
  <si>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</si>
  <si>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</si>
  <si>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</si>
  <si>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</si>
  <si>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</si>
  <si>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</si>
  <si>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</si>
  <si>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</si>
  <si>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</si>
  <si>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</si>
  <si>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</si>
  <si>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</si>
  <si>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</si>
  <si>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</si>
  <si>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</si>
  <si>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</si>
  <si>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</si>
  <si>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</si>
  <si>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</si>
  <si>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</si>
  <si>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</si>
  <si>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</si>
  <si>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</si>
  <si>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</si>
  <si>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</si>
  <si>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</si>
  <si>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</si>
  <si>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</si>
  <si>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</si>
  <si>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</si>
  <si>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</si>
  <si>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</si>
  <si>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</si>
  <si>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</si>
  <si>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</si>
  <si>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</si>
  <si>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</si>
  <si>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</si>
  <si>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</si>
  <si>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</si>
  <si>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</si>
  <si>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</si>
  <si>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</si>
  <si>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</si>
  <si>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</si>
  <si>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</si>
  <si>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</si>
  <si>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</si>
  <si>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</si>
  <si>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</si>
  <si>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</si>
  <si>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</si>
  <si>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</si>
  <si>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</si>
  <si>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</si>
  <si>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</si>
  <si>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</si>
  <si>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</si>
  <si>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</si>
  <si>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</si>
  <si>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</si>
  <si>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</si>
  <si>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</si>
  <si>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</si>
  <si>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</si>
  <si>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</si>
  <si>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</si>
  <si>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</si>
  <si>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3nonenonenonenone</t>
  </si>
  <si>
    <t>23nonenonenonenone</t>
  </si>
  <si>
    <t>124nonenonenone</t>
  </si>
  <si>
    <t>92nonenonenone</t>
  </si>
  <si>
    <t>74nonenonenone</t>
  </si>
  <si>
    <t>165nonenonenone</t>
  </si>
  <si>
    <t>16nonenonenonenone</t>
  </si>
  <si>
    <t>139nonenonenone</t>
  </si>
  <si>
    <t>95nonenonenone</t>
  </si>
  <si>
    <t>24nonenonenonenone</t>
  </si>
  <si>
    <t>13nonenonenonenone</t>
  </si>
  <si>
    <t>159nonenonenone</t>
  </si>
  <si>
    <t>19nonenonenonenone</t>
  </si>
  <si>
    <t>67nonenonenone</t>
  </si>
  <si>
    <t>15nonenonenonenone</t>
  </si>
  <si>
    <t>253nonenonenone</t>
  </si>
  <si>
    <t>132nonenonenone</t>
  </si>
  <si>
    <t>2nonenonenonenonenone</t>
  </si>
  <si>
    <t>175nonenonenone</t>
  </si>
  <si>
    <t>185nonenonenone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</si>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</sst>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K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K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workbookViewId="0">
      <selection activeCell="D13" sqref="D13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5" t="s">
        <v>3</v>
      </c>
      <c r="F2" t="s">
        <v>19</v>
      </c>
    </row>
    <row r="3" spans="1:9" x14ac:dyDescent="0.3">
      <c r="A3" s="15" t="s">
        <v>741</v>
      </c>
      <c r="B3" t="s">
        <v>740</v>
      </c>
    </row>
    <row r="4" spans="1:9" x14ac:dyDescent="0.3">
      <c r="A4" s="16" t="s">
        <v>697</v>
      </c>
      <c r="B4" s="14">
        <v>22000</v>
      </c>
      <c r="E4" s="15" t="s">
        <v>741</v>
      </c>
      <c r="F4" t="s">
        <v>746</v>
      </c>
    </row>
    <row r="5" spans="1:9" x14ac:dyDescent="0.3">
      <c r="A5" s="16" t="s">
        <v>19</v>
      </c>
      <c r="B5" s="14">
        <v>15215456.32</v>
      </c>
      <c r="E5" s="16" t="s">
        <v>20</v>
      </c>
      <c r="F5" s="14">
        <v>28</v>
      </c>
    </row>
    <row r="6" spans="1:9" x14ac:dyDescent="0.3">
      <c r="A6" s="16" t="s">
        <v>33</v>
      </c>
      <c r="B6" s="14">
        <v>3509473.5079999999</v>
      </c>
      <c r="E6" s="16" t="s">
        <v>22</v>
      </c>
      <c r="F6" s="14">
        <v>20</v>
      </c>
    </row>
    <row r="7" spans="1:9" x14ac:dyDescent="0.3">
      <c r="A7" s="16" t="s">
        <v>14</v>
      </c>
      <c r="B7" s="14">
        <v>19588140.120999999</v>
      </c>
      <c r="E7" s="16" t="s">
        <v>15</v>
      </c>
      <c r="F7" s="14">
        <v>17</v>
      </c>
    </row>
    <row r="8" spans="1:9" x14ac:dyDescent="0.3">
      <c r="A8" s="16" t="s">
        <v>742</v>
      </c>
      <c r="B8" s="14">
        <v>38335069.949000001</v>
      </c>
      <c r="E8" s="16" t="s">
        <v>742</v>
      </c>
      <c r="F8" s="14">
        <v>65</v>
      </c>
    </row>
    <row r="9" spans="1:9" x14ac:dyDescent="0.3">
      <c r="H9" s="15" t="s">
        <v>6</v>
      </c>
      <c r="I9" t="s">
        <v>743</v>
      </c>
    </row>
    <row r="11" spans="1:9" x14ac:dyDescent="0.3">
      <c r="H11" s="15" t="s">
        <v>741</v>
      </c>
      <c r="I11" t="s">
        <v>745</v>
      </c>
    </row>
    <row r="12" spans="1:9" x14ac:dyDescent="0.3">
      <c r="A12" s="15" t="s">
        <v>6</v>
      </c>
      <c r="B12" t="s">
        <v>15</v>
      </c>
      <c r="H12" s="16" t="s">
        <v>127</v>
      </c>
      <c r="I12" s="14">
        <v>203282</v>
      </c>
    </row>
    <row r="13" spans="1:9" x14ac:dyDescent="0.3">
      <c r="H13" s="16" t="s">
        <v>425</v>
      </c>
      <c r="I13" s="14">
        <v>1025</v>
      </c>
    </row>
    <row r="14" spans="1:9" x14ac:dyDescent="0.3">
      <c r="A14" s="15" t="s">
        <v>741</v>
      </c>
      <c r="B14" t="s">
        <v>747</v>
      </c>
      <c r="H14" s="16" t="s">
        <v>594</v>
      </c>
      <c r="I14" s="14">
        <v>272053</v>
      </c>
    </row>
    <row r="15" spans="1:9" x14ac:dyDescent="0.3">
      <c r="A15" s="16" t="s">
        <v>16</v>
      </c>
      <c r="B15" s="14">
        <v>1</v>
      </c>
      <c r="H15" s="16" t="s">
        <v>226</v>
      </c>
      <c r="I15" s="14">
        <v>23872</v>
      </c>
    </row>
    <row r="16" spans="1:9" x14ac:dyDescent="0.3">
      <c r="A16" s="16" t="s">
        <v>25</v>
      </c>
      <c r="B16" s="14">
        <v>3</v>
      </c>
      <c r="H16" s="16" t="s">
        <v>635</v>
      </c>
      <c r="I16" s="14">
        <v>7330</v>
      </c>
    </row>
    <row r="17" spans="1:9" x14ac:dyDescent="0.3">
      <c r="A17" s="16" t="s">
        <v>34</v>
      </c>
      <c r="B17" s="14">
        <v>9</v>
      </c>
      <c r="H17" s="16" t="s">
        <v>334</v>
      </c>
      <c r="I17" s="14">
        <v>24721</v>
      </c>
    </row>
    <row r="18" spans="1:9" x14ac:dyDescent="0.3">
      <c r="A18" s="16" t="s">
        <v>106</v>
      </c>
      <c r="B18" s="14">
        <v>6</v>
      </c>
      <c r="H18" s="16" t="s">
        <v>446</v>
      </c>
      <c r="I18" s="14">
        <v>41018</v>
      </c>
    </row>
    <row r="19" spans="1:9" x14ac:dyDescent="0.3">
      <c r="A19" s="16" t="s">
        <v>185</v>
      </c>
      <c r="B19" s="14">
        <v>2</v>
      </c>
      <c r="H19" s="16" t="s">
        <v>612</v>
      </c>
      <c r="I19" s="14">
        <v>21482</v>
      </c>
    </row>
    <row r="20" spans="1:9" x14ac:dyDescent="0.3">
      <c r="A20" s="16" t="s">
        <v>213</v>
      </c>
      <c r="B20" s="14">
        <v>7</v>
      </c>
      <c r="H20" s="16" t="s">
        <v>487</v>
      </c>
      <c r="I20" s="14">
        <v>24433</v>
      </c>
    </row>
    <row r="21" spans="1:9" x14ac:dyDescent="0.3">
      <c r="A21" s="16" t="s">
        <v>289</v>
      </c>
      <c r="B21" s="14">
        <v>38</v>
      </c>
      <c r="H21" s="16" t="s">
        <v>111</v>
      </c>
      <c r="I21" s="14">
        <v>31172</v>
      </c>
    </row>
    <row r="22" spans="1:9" x14ac:dyDescent="0.3">
      <c r="A22" s="16" t="s">
        <v>628</v>
      </c>
      <c r="B22" s="14">
        <v>5</v>
      </c>
      <c r="H22" s="16" t="s">
        <v>280</v>
      </c>
      <c r="I22" s="14">
        <v>10003</v>
      </c>
    </row>
    <row r="23" spans="1:9" x14ac:dyDescent="0.3">
      <c r="A23" s="16" t="s">
        <v>28</v>
      </c>
      <c r="B23" s="14">
        <v>11</v>
      </c>
      <c r="H23" s="16" t="s">
        <v>573</v>
      </c>
      <c r="I23" s="14">
        <v>43449</v>
      </c>
    </row>
    <row r="24" spans="1:9" x14ac:dyDescent="0.3">
      <c r="A24" s="16" t="s">
        <v>432</v>
      </c>
      <c r="B24" s="14">
        <v>9</v>
      </c>
      <c r="H24" s="16" t="s">
        <v>137</v>
      </c>
      <c r="I24" s="14">
        <v>355619</v>
      </c>
    </row>
    <row r="25" spans="1:9" x14ac:dyDescent="0.3">
      <c r="A25" s="16" t="s">
        <v>742</v>
      </c>
      <c r="B25" s="14">
        <v>91</v>
      </c>
      <c r="H25" s="16" t="s">
        <v>677</v>
      </c>
      <c r="I25" s="14">
        <v>45641</v>
      </c>
    </row>
    <row r="26" spans="1:9" x14ac:dyDescent="0.3">
      <c r="H26" s="16" t="s">
        <v>255</v>
      </c>
      <c r="I26" s="14">
        <v>64932</v>
      </c>
    </row>
    <row r="27" spans="1:9" x14ac:dyDescent="0.3">
      <c r="H27" s="16" t="s">
        <v>540</v>
      </c>
      <c r="I27" s="14">
        <v>12708</v>
      </c>
    </row>
    <row r="28" spans="1:9" x14ac:dyDescent="0.3">
      <c r="H28" s="16" t="s">
        <v>247</v>
      </c>
      <c r="I28" s="14">
        <v>21410</v>
      </c>
    </row>
    <row r="29" spans="1:9" x14ac:dyDescent="0.3">
      <c r="H29" s="16" t="s">
        <v>366</v>
      </c>
      <c r="I29" s="14">
        <v>16834</v>
      </c>
    </row>
    <row r="30" spans="1:9" x14ac:dyDescent="0.3">
      <c r="H30" s="16" t="s">
        <v>171</v>
      </c>
      <c r="I30" s="14">
        <v>172937</v>
      </c>
    </row>
    <row r="31" spans="1:9" x14ac:dyDescent="0.3">
      <c r="H31" s="16" t="s">
        <v>457</v>
      </c>
      <c r="I31" s="14">
        <v>39346</v>
      </c>
    </row>
    <row r="32" spans="1:9" x14ac:dyDescent="0.3">
      <c r="H32" s="16" t="s">
        <v>467</v>
      </c>
      <c r="I32" s="14">
        <v>167438</v>
      </c>
    </row>
    <row r="33" spans="8:9" x14ac:dyDescent="0.3">
      <c r="H33" s="16" t="s">
        <v>315</v>
      </c>
      <c r="I33" s="14">
        <v>30011</v>
      </c>
    </row>
    <row r="34" spans="8:9" x14ac:dyDescent="0.3">
      <c r="H34" s="16" t="s">
        <v>462</v>
      </c>
      <c r="I34" s="14">
        <v>31757</v>
      </c>
    </row>
    <row r="35" spans="8:9" x14ac:dyDescent="0.3">
      <c r="H35" s="16" t="s">
        <v>378</v>
      </c>
      <c r="I35" s="14">
        <v>15697</v>
      </c>
    </row>
    <row r="36" spans="8:9" x14ac:dyDescent="0.3">
      <c r="H36" s="16" t="s">
        <v>702</v>
      </c>
      <c r="I36" s="14">
        <v>19641</v>
      </c>
    </row>
    <row r="37" spans="8:9" x14ac:dyDescent="0.3">
      <c r="H37" s="16" t="s">
        <v>689</v>
      </c>
      <c r="I37" s="14">
        <v>178933</v>
      </c>
    </row>
    <row r="38" spans="8:9" x14ac:dyDescent="0.3">
      <c r="H38" s="16" t="s">
        <v>453</v>
      </c>
      <c r="I38" s="14">
        <v>24547</v>
      </c>
    </row>
    <row r="39" spans="8:9" x14ac:dyDescent="0.3">
      <c r="H39" s="16" t="s">
        <v>159</v>
      </c>
      <c r="I39" s="14">
        <v>23284</v>
      </c>
    </row>
    <row r="40" spans="8:9" x14ac:dyDescent="0.3">
      <c r="H40" s="16" t="s">
        <v>269</v>
      </c>
      <c r="I40" s="14">
        <v>21474</v>
      </c>
    </row>
    <row r="41" spans="8:9" x14ac:dyDescent="0.3">
      <c r="H41" s="16" t="s">
        <v>674</v>
      </c>
      <c r="I41" s="14">
        <v>51972</v>
      </c>
    </row>
    <row r="42" spans="8:9" x14ac:dyDescent="0.3">
      <c r="H42" s="16" t="s">
        <v>282</v>
      </c>
      <c r="I42" s="14">
        <v>23784</v>
      </c>
    </row>
    <row r="43" spans="8:9" x14ac:dyDescent="0.3">
      <c r="H43" s="16" t="s">
        <v>437</v>
      </c>
      <c r="I43" s="14">
        <v>35653</v>
      </c>
    </row>
    <row r="44" spans="8:9" x14ac:dyDescent="0.3">
      <c r="H44" s="16" t="s">
        <v>470</v>
      </c>
      <c r="I44" s="14">
        <v>294858</v>
      </c>
    </row>
    <row r="45" spans="8:9" x14ac:dyDescent="0.3">
      <c r="H45" s="16" t="s">
        <v>31</v>
      </c>
      <c r="I45" s="14">
        <v>31779</v>
      </c>
    </row>
    <row r="46" spans="8:9" x14ac:dyDescent="0.3">
      <c r="H46" s="16" t="s">
        <v>113</v>
      </c>
      <c r="I46" s="14">
        <v>229656</v>
      </c>
    </row>
    <row r="47" spans="8:9" x14ac:dyDescent="0.3">
      <c r="H47" s="16" t="s">
        <v>483</v>
      </c>
      <c r="I47" s="14">
        <v>95236</v>
      </c>
    </row>
    <row r="48" spans="8:9" x14ac:dyDescent="0.3">
      <c r="H48" s="16" t="s">
        <v>622</v>
      </c>
      <c r="I48" s="14">
        <v>93602</v>
      </c>
    </row>
    <row r="49" spans="8:9" x14ac:dyDescent="0.3">
      <c r="H49" s="16" t="s">
        <v>412</v>
      </c>
      <c r="I49" s="14">
        <v>44276</v>
      </c>
    </row>
    <row r="50" spans="8:9" x14ac:dyDescent="0.3">
      <c r="H50" s="16" t="s">
        <v>319</v>
      </c>
      <c r="I50" s="14">
        <v>9273</v>
      </c>
    </row>
    <row r="51" spans="8:9" x14ac:dyDescent="0.3">
      <c r="H51" s="16" t="s">
        <v>266</v>
      </c>
      <c r="I51" s="14">
        <v>3757</v>
      </c>
    </row>
    <row r="52" spans="8:9" x14ac:dyDescent="0.3">
      <c r="H52" s="16" t="s">
        <v>249</v>
      </c>
      <c r="I52" s="14">
        <v>3914</v>
      </c>
    </row>
    <row r="53" spans="8:9" x14ac:dyDescent="0.3">
      <c r="H53" s="16" t="s">
        <v>76</v>
      </c>
      <c r="I53" s="14">
        <v>222346</v>
      </c>
    </row>
    <row r="54" spans="8:9" x14ac:dyDescent="0.3">
      <c r="H54" s="16" t="s">
        <v>234</v>
      </c>
      <c r="I54" s="14">
        <v>8634</v>
      </c>
    </row>
    <row r="55" spans="8:9" x14ac:dyDescent="0.3">
      <c r="H55" s="16" t="s">
        <v>341</v>
      </c>
      <c r="I55" s="14">
        <v>20052</v>
      </c>
    </row>
    <row r="56" spans="8:9" x14ac:dyDescent="0.3">
      <c r="H56" s="16" t="s">
        <v>131</v>
      </c>
      <c r="I56" s="14">
        <v>29277</v>
      </c>
    </row>
    <row r="57" spans="8:9" x14ac:dyDescent="0.3">
      <c r="H57" s="16" t="s">
        <v>521</v>
      </c>
      <c r="I57" s="14">
        <v>44536</v>
      </c>
    </row>
    <row r="58" spans="8:9" x14ac:dyDescent="0.3">
      <c r="H58" s="16" t="s">
        <v>308</v>
      </c>
      <c r="I58" s="14">
        <v>59604</v>
      </c>
    </row>
    <row r="59" spans="8:9" x14ac:dyDescent="0.3">
      <c r="H59" s="16" t="s">
        <v>555</v>
      </c>
      <c r="I59" s="14">
        <v>26721</v>
      </c>
    </row>
    <row r="60" spans="8:9" x14ac:dyDescent="0.3">
      <c r="H60" s="16" t="s">
        <v>652</v>
      </c>
      <c r="I60" s="14">
        <v>6954</v>
      </c>
    </row>
    <row r="61" spans="8:9" x14ac:dyDescent="0.3">
      <c r="H61" s="16" t="s">
        <v>617</v>
      </c>
      <c r="I61" s="14">
        <v>113227</v>
      </c>
    </row>
    <row r="62" spans="8:9" x14ac:dyDescent="0.3">
      <c r="H62" s="16" t="s">
        <v>133</v>
      </c>
      <c r="I62" s="14">
        <v>19340</v>
      </c>
    </row>
    <row r="63" spans="8:9" x14ac:dyDescent="0.3">
      <c r="H63" s="16" t="s">
        <v>364</v>
      </c>
      <c r="I63" s="14">
        <v>40373</v>
      </c>
    </row>
    <row r="64" spans="8:9" x14ac:dyDescent="0.3">
      <c r="H64" s="16" t="s">
        <v>516</v>
      </c>
      <c r="I64" s="14">
        <v>13286</v>
      </c>
    </row>
    <row r="65" spans="8:9" x14ac:dyDescent="0.3">
      <c r="H65" s="16" t="s">
        <v>615</v>
      </c>
      <c r="I65" s="14">
        <v>34785</v>
      </c>
    </row>
    <row r="66" spans="8:9" x14ac:dyDescent="0.3">
      <c r="H66" s="16" t="s">
        <v>317</v>
      </c>
      <c r="I66" s="14">
        <v>43959</v>
      </c>
    </row>
    <row r="67" spans="8:9" x14ac:dyDescent="0.3">
      <c r="H67" s="16" t="s">
        <v>648</v>
      </c>
      <c r="I67" s="14">
        <v>27823</v>
      </c>
    </row>
    <row r="68" spans="8:9" x14ac:dyDescent="0.3">
      <c r="H68" s="16" t="s">
        <v>391</v>
      </c>
      <c r="I68" s="14">
        <v>22766</v>
      </c>
    </row>
    <row r="69" spans="8:9" x14ac:dyDescent="0.3">
      <c r="H69" s="16" t="s">
        <v>444</v>
      </c>
      <c r="I69" s="14">
        <v>12683</v>
      </c>
    </row>
    <row r="70" spans="8:9" x14ac:dyDescent="0.3">
      <c r="H70" s="16" t="s">
        <v>587</v>
      </c>
      <c r="I70" s="14">
        <v>11424</v>
      </c>
    </row>
    <row r="71" spans="8:9" x14ac:dyDescent="0.3">
      <c r="H71" s="16" t="s">
        <v>125</v>
      </c>
      <c r="I71" s="14">
        <v>49537</v>
      </c>
    </row>
    <row r="72" spans="8:9" x14ac:dyDescent="0.3">
      <c r="H72" s="16" t="s">
        <v>465</v>
      </c>
      <c r="I72" s="14">
        <v>45699</v>
      </c>
    </row>
    <row r="73" spans="8:9" x14ac:dyDescent="0.3">
      <c r="H73" s="16" t="s">
        <v>550</v>
      </c>
      <c r="I73" s="14">
        <v>9765</v>
      </c>
    </row>
    <row r="74" spans="8:9" x14ac:dyDescent="0.3">
      <c r="H74" s="16" t="s">
        <v>63</v>
      </c>
      <c r="I74" s="14">
        <v>36059</v>
      </c>
    </row>
    <row r="75" spans="8:9" x14ac:dyDescent="0.3">
      <c r="H75" s="16" t="s">
        <v>592</v>
      </c>
      <c r="I75" s="14">
        <v>17181</v>
      </c>
    </row>
    <row r="76" spans="8:9" x14ac:dyDescent="0.3">
      <c r="H76" s="16" t="s">
        <v>65</v>
      </c>
      <c r="I76" s="14">
        <v>382595</v>
      </c>
    </row>
    <row r="77" spans="8:9" x14ac:dyDescent="0.3">
      <c r="H77" s="16" t="s">
        <v>610</v>
      </c>
      <c r="I77" s="14">
        <v>21130</v>
      </c>
    </row>
    <row r="78" spans="8:9" x14ac:dyDescent="0.3">
      <c r="H78" s="16" t="s">
        <v>362</v>
      </c>
      <c r="I78" s="14">
        <v>101756</v>
      </c>
    </row>
    <row r="79" spans="8:9" x14ac:dyDescent="0.3">
      <c r="H79" s="16" t="s">
        <v>398</v>
      </c>
      <c r="I79" s="14">
        <v>7911</v>
      </c>
    </row>
    <row r="80" spans="8:9" x14ac:dyDescent="0.3">
      <c r="H80" s="16" t="s">
        <v>566</v>
      </c>
      <c r="I80" s="14">
        <v>8147</v>
      </c>
    </row>
    <row r="81" spans="8:9" x14ac:dyDescent="0.3">
      <c r="H81" s="16" t="s">
        <v>536</v>
      </c>
      <c r="I81" s="14">
        <v>835</v>
      </c>
    </row>
    <row r="82" spans="8:9" x14ac:dyDescent="0.3">
      <c r="H82" s="16" t="s">
        <v>135</v>
      </c>
      <c r="I82" s="14">
        <v>448449</v>
      </c>
    </row>
    <row r="83" spans="8:9" x14ac:dyDescent="0.3">
      <c r="H83" s="16" t="s">
        <v>78</v>
      </c>
      <c r="I83" s="14">
        <v>40001</v>
      </c>
    </row>
    <row r="84" spans="8:9" x14ac:dyDescent="0.3">
      <c r="H84" s="16" t="s">
        <v>656</v>
      </c>
      <c r="I84" s="14">
        <v>5193</v>
      </c>
    </row>
    <row r="85" spans="8:9" x14ac:dyDescent="0.3">
      <c r="H85" s="16" t="s">
        <v>644</v>
      </c>
      <c r="I85" s="14">
        <v>7332</v>
      </c>
    </row>
    <row r="86" spans="8:9" x14ac:dyDescent="0.3">
      <c r="H86" s="16" t="s">
        <v>326</v>
      </c>
      <c r="I86" s="14">
        <v>12120</v>
      </c>
    </row>
    <row r="87" spans="8:9" x14ac:dyDescent="0.3">
      <c r="H87" s="16" t="s">
        <v>200</v>
      </c>
      <c r="I87" s="14">
        <v>28167</v>
      </c>
    </row>
    <row r="88" spans="8:9" x14ac:dyDescent="0.3">
      <c r="H88" s="16" t="s">
        <v>99</v>
      </c>
      <c r="I88" s="14">
        <v>251895</v>
      </c>
    </row>
    <row r="89" spans="8:9" x14ac:dyDescent="0.3">
      <c r="H89" s="16" t="s">
        <v>312</v>
      </c>
      <c r="I89" s="14">
        <v>199941</v>
      </c>
    </row>
    <row r="90" spans="8:9" x14ac:dyDescent="0.3">
      <c r="H90" s="16" t="s">
        <v>481</v>
      </c>
      <c r="I90" s="14">
        <v>79658</v>
      </c>
    </row>
    <row r="91" spans="8:9" x14ac:dyDescent="0.3">
      <c r="H91" s="16" t="s">
        <v>45</v>
      </c>
      <c r="I91" s="14">
        <v>96087</v>
      </c>
    </row>
    <row r="92" spans="8:9" x14ac:dyDescent="0.3">
      <c r="H92" s="16" t="s">
        <v>84</v>
      </c>
      <c r="I92" s="14">
        <v>662883</v>
      </c>
    </row>
    <row r="93" spans="8:9" x14ac:dyDescent="0.3">
      <c r="H93" s="16" t="s">
        <v>561</v>
      </c>
      <c r="I93" s="14">
        <v>13899</v>
      </c>
    </row>
    <row r="94" spans="8:9" x14ac:dyDescent="0.3">
      <c r="H94" s="16" t="s">
        <v>532</v>
      </c>
      <c r="I94" s="14">
        <v>67597</v>
      </c>
    </row>
    <row r="95" spans="8:9" x14ac:dyDescent="0.3">
      <c r="H95" s="16" t="s">
        <v>71</v>
      </c>
      <c r="I95" s="14">
        <v>111366</v>
      </c>
    </row>
    <row r="96" spans="8:9" x14ac:dyDescent="0.3">
      <c r="H96" s="16" t="s">
        <v>204</v>
      </c>
      <c r="I96" s="14">
        <v>25241</v>
      </c>
    </row>
    <row r="97" spans="8:9" x14ac:dyDescent="0.3">
      <c r="H97" s="16" t="s">
        <v>169</v>
      </c>
      <c r="I97" s="14">
        <v>6538</v>
      </c>
    </row>
    <row r="98" spans="8:9" x14ac:dyDescent="0.3">
      <c r="H98" s="16" t="s">
        <v>238</v>
      </c>
      <c r="I98" s="14">
        <v>231599</v>
      </c>
    </row>
    <row r="99" spans="8:9" x14ac:dyDescent="0.3">
      <c r="H99" s="16" t="s">
        <v>380</v>
      </c>
      <c r="I99" s="14">
        <v>42576</v>
      </c>
    </row>
    <row r="100" spans="8:9" x14ac:dyDescent="0.3">
      <c r="H100" s="16" t="s">
        <v>39</v>
      </c>
      <c r="I100" s="14">
        <v>160490</v>
      </c>
    </row>
    <row r="101" spans="8:9" x14ac:dyDescent="0.3">
      <c r="H101" s="16" t="s">
        <v>633</v>
      </c>
      <c r="I101" s="14">
        <v>134982</v>
      </c>
    </row>
    <row r="102" spans="8:9" x14ac:dyDescent="0.3">
      <c r="H102" s="16" t="s">
        <v>208</v>
      </c>
      <c r="I102" s="14">
        <v>101603</v>
      </c>
    </row>
    <row r="103" spans="8:9" x14ac:dyDescent="0.3">
      <c r="H103" s="16" t="s">
        <v>49</v>
      </c>
      <c r="I103" s="14">
        <v>5714</v>
      </c>
    </row>
    <row r="104" spans="8:9" x14ac:dyDescent="0.3">
      <c r="H104" s="16" t="s">
        <v>332</v>
      </c>
      <c r="I104" s="14">
        <v>22759</v>
      </c>
    </row>
    <row r="105" spans="8:9" x14ac:dyDescent="0.3">
      <c r="H105" s="16" t="s">
        <v>299</v>
      </c>
      <c r="I105" s="14">
        <v>3643</v>
      </c>
    </row>
    <row r="106" spans="8:9" x14ac:dyDescent="0.3">
      <c r="H106" s="16" t="s">
        <v>215</v>
      </c>
      <c r="I106" s="14">
        <v>38081</v>
      </c>
    </row>
    <row r="107" spans="8:9" x14ac:dyDescent="0.3">
      <c r="H107" s="16" t="s">
        <v>493</v>
      </c>
      <c r="I107" s="14">
        <v>6182</v>
      </c>
    </row>
    <row r="108" spans="8:9" x14ac:dyDescent="0.3">
      <c r="H108" s="16" t="s">
        <v>706</v>
      </c>
      <c r="I108" s="14">
        <v>10505</v>
      </c>
    </row>
    <row r="109" spans="8:9" x14ac:dyDescent="0.3">
      <c r="H109" s="16" t="s">
        <v>252</v>
      </c>
      <c r="I109" s="14">
        <v>98484</v>
      </c>
    </row>
    <row r="110" spans="8:9" x14ac:dyDescent="0.3">
      <c r="H110" s="16" t="s">
        <v>347</v>
      </c>
      <c r="I110" s="14">
        <v>34932</v>
      </c>
    </row>
    <row r="111" spans="8:9" x14ac:dyDescent="0.3">
      <c r="H111" s="16" t="s">
        <v>173</v>
      </c>
      <c r="I111" s="14">
        <v>74374</v>
      </c>
    </row>
    <row r="112" spans="8:9" x14ac:dyDescent="0.3">
      <c r="H112" s="16" t="s">
        <v>277</v>
      </c>
      <c r="I112" s="14">
        <v>4261</v>
      </c>
    </row>
    <row r="113" spans="8:9" x14ac:dyDescent="0.3">
      <c r="H113" s="16" t="s">
        <v>389</v>
      </c>
      <c r="I113" s="14">
        <v>54338</v>
      </c>
    </row>
    <row r="114" spans="8:9" x14ac:dyDescent="0.3">
      <c r="H114" s="16" t="s">
        <v>670</v>
      </c>
      <c r="I114" s="14">
        <v>1855</v>
      </c>
    </row>
    <row r="115" spans="8:9" x14ac:dyDescent="0.3">
      <c r="H115" s="16" t="s">
        <v>306</v>
      </c>
      <c r="I115" s="14">
        <v>33661</v>
      </c>
    </row>
    <row r="116" spans="8:9" x14ac:dyDescent="0.3">
      <c r="H116" s="16" t="s">
        <v>202</v>
      </c>
      <c r="I116" s="14">
        <v>30802</v>
      </c>
    </row>
    <row r="117" spans="8:9" x14ac:dyDescent="0.3">
      <c r="H117" s="16" t="s">
        <v>43</v>
      </c>
      <c r="I117" s="14">
        <v>5927</v>
      </c>
    </row>
    <row r="118" spans="8:9" x14ac:dyDescent="0.3">
      <c r="H118" s="16" t="s">
        <v>518</v>
      </c>
      <c r="I118" s="14">
        <v>32575</v>
      </c>
    </row>
    <row r="119" spans="8:9" x14ac:dyDescent="0.3">
      <c r="H119" s="16" t="s">
        <v>384</v>
      </c>
      <c r="I119" s="14">
        <v>13643</v>
      </c>
    </row>
    <row r="120" spans="8:9" x14ac:dyDescent="0.3">
      <c r="H120" s="16" t="s">
        <v>197</v>
      </c>
      <c r="I120" s="14">
        <v>32792</v>
      </c>
    </row>
    <row r="121" spans="8:9" x14ac:dyDescent="0.3">
      <c r="H121" s="16" t="s">
        <v>455</v>
      </c>
      <c r="I121" s="14">
        <v>19553</v>
      </c>
    </row>
    <row r="122" spans="8:9" x14ac:dyDescent="0.3">
      <c r="H122" s="16" t="s">
        <v>534</v>
      </c>
      <c r="I122" s="14">
        <v>15577</v>
      </c>
    </row>
    <row r="123" spans="8:9" x14ac:dyDescent="0.3">
      <c r="H123" s="16" t="s">
        <v>92</v>
      </c>
      <c r="I123" s="14">
        <v>231826</v>
      </c>
    </row>
    <row r="124" spans="8:9" x14ac:dyDescent="0.3">
      <c r="H124" s="16" t="s">
        <v>637</v>
      </c>
      <c r="I124" s="14">
        <v>51298</v>
      </c>
    </row>
    <row r="125" spans="8:9" x14ac:dyDescent="0.3">
      <c r="H125" s="16" t="s">
        <v>373</v>
      </c>
      <c r="I125" s="14">
        <v>3305</v>
      </c>
    </row>
    <row r="126" spans="8:9" x14ac:dyDescent="0.3">
      <c r="H126" s="16" t="s">
        <v>284</v>
      </c>
      <c r="I126" s="14">
        <v>13881</v>
      </c>
    </row>
    <row r="127" spans="8:9" x14ac:dyDescent="0.3">
      <c r="H127" s="16" t="s">
        <v>693</v>
      </c>
      <c r="I127" s="14">
        <v>43946</v>
      </c>
    </row>
    <row r="128" spans="8:9" x14ac:dyDescent="0.3">
      <c r="H128" s="16" t="s">
        <v>639</v>
      </c>
      <c r="I128" s="14">
        <v>11784</v>
      </c>
    </row>
    <row r="129" spans="8:9" x14ac:dyDescent="0.3">
      <c r="H129" s="16" t="s">
        <v>429</v>
      </c>
      <c r="I129" s="14">
        <v>104255</v>
      </c>
    </row>
    <row r="130" spans="8:9" x14ac:dyDescent="0.3">
      <c r="H130" s="16" t="s">
        <v>441</v>
      </c>
      <c r="I130" s="14">
        <v>47617</v>
      </c>
    </row>
    <row r="131" spans="8:9" x14ac:dyDescent="0.3">
      <c r="H131" s="16" t="s">
        <v>189</v>
      </c>
      <c r="I131" s="14">
        <v>5134</v>
      </c>
    </row>
    <row r="132" spans="8:9" x14ac:dyDescent="0.3">
      <c r="H132" s="16" t="s">
        <v>288</v>
      </c>
      <c r="I132" s="14">
        <v>13408</v>
      </c>
    </row>
    <row r="133" spans="8:9" x14ac:dyDescent="0.3">
      <c r="H133" s="16" t="s">
        <v>650</v>
      </c>
      <c r="I133" s="14">
        <v>3359</v>
      </c>
    </row>
    <row r="134" spans="8:9" x14ac:dyDescent="0.3">
      <c r="H134" s="16" t="s">
        <v>450</v>
      </c>
      <c r="I134" s="14">
        <v>12077</v>
      </c>
    </row>
    <row r="135" spans="8:9" x14ac:dyDescent="0.3">
      <c r="H135" s="16" t="s">
        <v>679</v>
      </c>
      <c r="I135" s="14">
        <v>48062</v>
      </c>
    </row>
    <row r="136" spans="8:9" x14ac:dyDescent="0.3">
      <c r="H136" s="16" t="s">
        <v>41</v>
      </c>
      <c r="I136" s="14">
        <v>30491</v>
      </c>
    </row>
    <row r="137" spans="8:9" x14ac:dyDescent="0.3">
      <c r="H137" s="16" t="s">
        <v>490</v>
      </c>
      <c r="I137" s="14">
        <v>8126</v>
      </c>
    </row>
    <row r="138" spans="8:9" x14ac:dyDescent="0.3">
      <c r="H138" s="16" t="s">
        <v>101</v>
      </c>
      <c r="I138" s="14">
        <v>18082</v>
      </c>
    </row>
    <row r="139" spans="8:9" x14ac:dyDescent="0.3">
      <c r="H139" s="16" t="s">
        <v>575</v>
      </c>
      <c r="I139" s="14">
        <v>439090</v>
      </c>
    </row>
    <row r="140" spans="8:9" x14ac:dyDescent="0.3">
      <c r="H140" s="16" t="s">
        <v>495</v>
      </c>
      <c r="I140" s="14">
        <v>21569</v>
      </c>
    </row>
    <row r="141" spans="8:9" x14ac:dyDescent="0.3">
      <c r="H141" s="16" t="s">
        <v>631</v>
      </c>
      <c r="I141" s="14">
        <v>34338</v>
      </c>
    </row>
    <row r="142" spans="8:9" x14ac:dyDescent="0.3">
      <c r="H142" s="16" t="s">
        <v>501</v>
      </c>
      <c r="I142" s="14">
        <v>138650</v>
      </c>
    </row>
    <row r="143" spans="8:9" x14ac:dyDescent="0.3">
      <c r="H143" s="16" t="s">
        <v>271</v>
      </c>
      <c r="I143" s="14">
        <v>54330</v>
      </c>
    </row>
    <row r="144" spans="8:9" x14ac:dyDescent="0.3">
      <c r="H144" s="16" t="s">
        <v>156</v>
      </c>
      <c r="I144" s="14">
        <v>10215</v>
      </c>
    </row>
    <row r="145" spans="8:9" x14ac:dyDescent="0.3">
      <c r="H145" s="16" t="s">
        <v>195</v>
      </c>
      <c r="I145" s="14">
        <v>559430</v>
      </c>
    </row>
    <row r="146" spans="8:9" x14ac:dyDescent="0.3">
      <c r="H146" s="16" t="s">
        <v>262</v>
      </c>
      <c r="I146" s="14">
        <v>17147</v>
      </c>
    </row>
    <row r="147" spans="8:9" x14ac:dyDescent="0.3">
      <c r="H147" s="16" t="s">
        <v>47</v>
      </c>
      <c r="I147" s="14">
        <v>40264</v>
      </c>
    </row>
    <row r="148" spans="8:9" x14ac:dyDescent="0.3">
      <c r="H148" s="16" t="s">
        <v>243</v>
      </c>
      <c r="I148" s="14">
        <v>42366</v>
      </c>
    </row>
    <row r="149" spans="8:9" x14ac:dyDescent="0.3">
      <c r="H149" s="16" t="s">
        <v>150</v>
      </c>
      <c r="I149" s="14">
        <v>379401</v>
      </c>
    </row>
    <row r="150" spans="8:9" x14ac:dyDescent="0.3">
      <c r="H150" s="16" t="s">
        <v>691</v>
      </c>
      <c r="I150" s="14">
        <v>4856</v>
      </c>
    </row>
    <row r="151" spans="8:9" x14ac:dyDescent="0.3">
      <c r="H151" s="16" t="s">
        <v>89</v>
      </c>
      <c r="I151" s="14">
        <v>15673</v>
      </c>
    </row>
    <row r="152" spans="8:9" x14ac:dyDescent="0.3">
      <c r="H152" s="16" t="s">
        <v>434</v>
      </c>
      <c r="I152" s="14">
        <v>5925</v>
      </c>
    </row>
    <row r="153" spans="8:9" x14ac:dyDescent="0.3">
      <c r="H153" s="16" t="s">
        <v>408</v>
      </c>
      <c r="I153" s="14">
        <v>28389</v>
      </c>
    </row>
    <row r="154" spans="8:9" x14ac:dyDescent="0.3">
      <c r="H154" s="16" t="s">
        <v>264</v>
      </c>
      <c r="I154" s="14">
        <v>16361</v>
      </c>
    </row>
    <row r="155" spans="8:9" x14ac:dyDescent="0.3">
      <c r="H155" s="16" t="s">
        <v>222</v>
      </c>
      <c r="I155" s="14">
        <v>43330</v>
      </c>
    </row>
    <row r="156" spans="8:9" x14ac:dyDescent="0.3">
      <c r="H156" s="16" t="s">
        <v>542</v>
      </c>
      <c r="I156" s="14">
        <v>71674</v>
      </c>
    </row>
    <row r="157" spans="8:9" x14ac:dyDescent="0.3">
      <c r="H157" s="16" t="s">
        <v>310</v>
      </c>
      <c r="I157" s="14">
        <v>420337</v>
      </c>
    </row>
    <row r="158" spans="8:9" x14ac:dyDescent="0.3">
      <c r="H158" s="16" t="s">
        <v>87</v>
      </c>
      <c r="I158" s="14">
        <v>335106</v>
      </c>
    </row>
    <row r="159" spans="8:9" x14ac:dyDescent="0.3">
      <c r="H159" s="16" t="s">
        <v>525</v>
      </c>
      <c r="I159" s="14">
        <v>101847</v>
      </c>
    </row>
    <row r="160" spans="8:9" x14ac:dyDescent="0.3">
      <c r="H160" s="16" t="s">
        <v>94</v>
      </c>
      <c r="I160" s="14">
        <v>20021</v>
      </c>
    </row>
    <row r="161" spans="8:9" x14ac:dyDescent="0.3">
      <c r="H161" s="16" t="s">
        <v>642</v>
      </c>
      <c r="I161" s="14">
        <v>24805</v>
      </c>
    </row>
    <row r="162" spans="8:9" x14ac:dyDescent="0.3">
      <c r="H162" s="16" t="s">
        <v>73</v>
      </c>
      <c r="I162" s="14">
        <v>28747</v>
      </c>
    </row>
    <row r="163" spans="8:9" x14ac:dyDescent="0.3">
      <c r="H163" s="16" t="s">
        <v>293</v>
      </c>
      <c r="I163" s="14">
        <v>25439</v>
      </c>
    </row>
    <row r="164" spans="8:9" x14ac:dyDescent="0.3">
      <c r="H164" s="16" t="s">
        <v>167</v>
      </c>
      <c r="I164" s="14">
        <v>18632</v>
      </c>
    </row>
    <row r="165" spans="8:9" x14ac:dyDescent="0.3">
      <c r="H165" s="16" t="s">
        <v>105</v>
      </c>
      <c r="I165" s="14">
        <v>360610</v>
      </c>
    </row>
    <row r="166" spans="8:9" x14ac:dyDescent="0.3">
      <c r="H166" s="16" t="s">
        <v>82</v>
      </c>
      <c r="I166" s="14">
        <v>8189</v>
      </c>
    </row>
    <row r="167" spans="8:9" x14ac:dyDescent="0.3">
      <c r="H167" s="16" t="s">
        <v>60</v>
      </c>
      <c r="I167" s="14">
        <v>7013</v>
      </c>
    </row>
    <row r="168" spans="8:9" x14ac:dyDescent="0.3">
      <c r="H168" s="16" t="s">
        <v>624</v>
      </c>
      <c r="I168" s="14">
        <v>56188</v>
      </c>
    </row>
    <row r="169" spans="8:9" x14ac:dyDescent="0.3">
      <c r="H169" s="16" t="s">
        <v>152</v>
      </c>
      <c r="I169" s="14">
        <v>27336</v>
      </c>
    </row>
    <row r="170" spans="8:9" x14ac:dyDescent="0.3">
      <c r="H170" s="16" t="s">
        <v>477</v>
      </c>
      <c r="I170" s="14">
        <v>15883</v>
      </c>
    </row>
    <row r="171" spans="8:9" x14ac:dyDescent="0.3">
      <c r="H171" s="16" t="s">
        <v>129</v>
      </c>
      <c r="I171" s="14">
        <v>19731</v>
      </c>
    </row>
    <row r="172" spans="8:9" x14ac:dyDescent="0.3">
      <c r="H172" s="16" t="s">
        <v>530</v>
      </c>
      <c r="I172" s="14">
        <v>25441</v>
      </c>
    </row>
    <row r="173" spans="8:9" x14ac:dyDescent="0.3">
      <c r="H173" s="16" t="s">
        <v>260</v>
      </c>
      <c r="I173" s="14">
        <v>13288</v>
      </c>
    </row>
    <row r="174" spans="8:9" x14ac:dyDescent="0.3">
      <c r="H174" s="16" t="s">
        <v>324</v>
      </c>
      <c r="I174" s="14">
        <v>188896</v>
      </c>
    </row>
    <row r="175" spans="8:9" x14ac:dyDescent="0.3">
      <c r="H175" s="16" t="s">
        <v>699</v>
      </c>
      <c r="I175" s="14">
        <v>33801</v>
      </c>
    </row>
    <row r="176" spans="8:9" x14ac:dyDescent="0.3">
      <c r="H176" s="16" t="s">
        <v>224</v>
      </c>
      <c r="I176" s="14">
        <v>19860</v>
      </c>
    </row>
    <row r="177" spans="8:9" x14ac:dyDescent="0.3">
      <c r="H177" s="16" t="s">
        <v>396</v>
      </c>
      <c r="I177" s="14">
        <v>126928</v>
      </c>
    </row>
    <row r="178" spans="8:9" x14ac:dyDescent="0.3">
      <c r="H178" s="16" t="s">
        <v>140</v>
      </c>
      <c r="I178" s="14">
        <v>298017</v>
      </c>
    </row>
    <row r="179" spans="8:9" x14ac:dyDescent="0.3">
      <c r="H179" s="16" t="s">
        <v>220</v>
      </c>
      <c r="I179" s="14">
        <v>48329</v>
      </c>
    </row>
    <row r="180" spans="8:9" x14ac:dyDescent="0.3">
      <c r="H180" s="16" t="s">
        <v>12</v>
      </c>
      <c r="I180" s="14">
        <v>4418497</v>
      </c>
    </row>
    <row r="181" spans="8:9" x14ac:dyDescent="0.3">
      <c r="H181" s="16" t="s">
        <v>117</v>
      </c>
      <c r="I181" s="14">
        <v>487770</v>
      </c>
    </row>
    <row r="182" spans="8:9" x14ac:dyDescent="0.3">
      <c r="H182" s="16" t="s">
        <v>351</v>
      </c>
      <c r="I182" s="14">
        <v>149289</v>
      </c>
    </row>
    <row r="183" spans="8:9" x14ac:dyDescent="0.3">
      <c r="H183" s="16" t="s">
        <v>56</v>
      </c>
      <c r="I183" s="14">
        <v>174650</v>
      </c>
    </row>
    <row r="184" spans="8:9" x14ac:dyDescent="0.3">
      <c r="H184" s="16" t="s">
        <v>145</v>
      </c>
      <c r="I184" s="14">
        <v>39119</v>
      </c>
    </row>
    <row r="185" spans="8:9" x14ac:dyDescent="0.3">
      <c r="H185" s="16" t="s">
        <v>546</v>
      </c>
      <c r="I185" s="14">
        <v>52119</v>
      </c>
    </row>
    <row r="186" spans="8:9" x14ac:dyDescent="0.3">
      <c r="H186" s="16" t="s">
        <v>97</v>
      </c>
      <c r="I186" s="14">
        <v>14107</v>
      </c>
    </row>
    <row r="187" spans="8:9" x14ac:dyDescent="0.3">
      <c r="H187" s="16" t="s">
        <v>473</v>
      </c>
      <c r="I187" s="14">
        <v>3770</v>
      </c>
    </row>
    <row r="188" spans="8:9" x14ac:dyDescent="0.3">
      <c r="H188" s="16" t="s">
        <v>503</v>
      </c>
      <c r="I188" s="14">
        <v>13165</v>
      </c>
    </row>
    <row r="189" spans="8:9" x14ac:dyDescent="0.3">
      <c r="H189" s="16" t="s">
        <v>51</v>
      </c>
      <c r="I189" s="14">
        <v>43958</v>
      </c>
    </row>
    <row r="190" spans="8:9" x14ac:dyDescent="0.3">
      <c r="H190" s="16" t="s">
        <v>291</v>
      </c>
      <c r="I190" s="14">
        <v>17189</v>
      </c>
    </row>
    <row r="191" spans="8:9" x14ac:dyDescent="0.3">
      <c r="H191" s="16" t="s">
        <v>507</v>
      </c>
      <c r="I191" s="14">
        <v>28388</v>
      </c>
    </row>
    <row r="192" spans="8:9" x14ac:dyDescent="0.3">
      <c r="H192" s="16" t="s">
        <v>302</v>
      </c>
      <c r="I192" s="14">
        <v>34259</v>
      </c>
    </row>
    <row r="193" spans="8:9" x14ac:dyDescent="0.3">
      <c r="H193" s="16" t="s">
        <v>147</v>
      </c>
      <c r="I193" s="14">
        <v>12299</v>
      </c>
    </row>
    <row r="194" spans="8:9" x14ac:dyDescent="0.3">
      <c r="H194" s="16" t="s">
        <v>286</v>
      </c>
      <c r="I194" s="14">
        <v>1273</v>
      </c>
    </row>
    <row r="195" spans="8:9" x14ac:dyDescent="0.3">
      <c r="H195" s="16" t="s">
        <v>369</v>
      </c>
      <c r="I195" s="14">
        <v>266948</v>
      </c>
    </row>
    <row r="196" spans="8:9" x14ac:dyDescent="0.3">
      <c r="H196" s="16" t="s">
        <v>711</v>
      </c>
      <c r="I196" s="14">
        <v>383200</v>
      </c>
    </row>
    <row r="197" spans="8:9" x14ac:dyDescent="0.3">
      <c r="H197" s="16" t="s">
        <v>393</v>
      </c>
      <c r="I197" s="14">
        <v>415151</v>
      </c>
    </row>
    <row r="198" spans="8:9" x14ac:dyDescent="0.3">
      <c r="H198" s="16" t="s">
        <v>184</v>
      </c>
      <c r="I198" s="14">
        <v>17325</v>
      </c>
    </row>
    <row r="199" spans="8:9" x14ac:dyDescent="0.3">
      <c r="H199" s="16" t="s">
        <v>328</v>
      </c>
      <c r="I199" s="14">
        <v>42695</v>
      </c>
    </row>
    <row r="200" spans="8:9" x14ac:dyDescent="0.3">
      <c r="H200" s="16" t="s">
        <v>154</v>
      </c>
      <c r="I200" s="14">
        <v>14054</v>
      </c>
    </row>
    <row r="201" spans="8:9" x14ac:dyDescent="0.3">
      <c r="H201" s="16" t="s">
        <v>479</v>
      </c>
      <c r="I201" s="14">
        <v>7058</v>
      </c>
    </row>
    <row r="202" spans="8:9" x14ac:dyDescent="0.3">
      <c r="H202" s="16" t="s">
        <v>191</v>
      </c>
      <c r="I202" s="14">
        <v>354700</v>
      </c>
    </row>
    <row r="203" spans="8:9" x14ac:dyDescent="0.3">
      <c r="H203" s="16" t="s">
        <v>58</v>
      </c>
      <c r="I203" s="14">
        <v>69267</v>
      </c>
    </row>
    <row r="204" spans="8:9" x14ac:dyDescent="0.3">
      <c r="H204" s="16" t="s">
        <v>187</v>
      </c>
      <c r="I204" s="14">
        <v>14445</v>
      </c>
    </row>
    <row r="205" spans="8:9" x14ac:dyDescent="0.3">
      <c r="H205" s="16" t="s">
        <v>485</v>
      </c>
      <c r="I205" s="14">
        <v>50320</v>
      </c>
    </row>
    <row r="206" spans="8:9" x14ac:dyDescent="0.3">
      <c r="H206" s="16" t="s">
        <v>596</v>
      </c>
      <c r="I206" s="14">
        <v>39638</v>
      </c>
    </row>
    <row r="207" spans="8:9" x14ac:dyDescent="0.3">
      <c r="H207" s="16" t="s">
        <v>178</v>
      </c>
      <c r="I207" s="14">
        <v>94249</v>
      </c>
    </row>
    <row r="208" spans="8:9" x14ac:dyDescent="0.3">
      <c r="H208" s="16" t="s">
        <v>654</v>
      </c>
      <c r="I208" s="14">
        <v>17935</v>
      </c>
    </row>
    <row r="209" spans="8:9" x14ac:dyDescent="0.3">
      <c r="H209" s="16" t="s">
        <v>666</v>
      </c>
      <c r="I209" s="14">
        <v>25548</v>
      </c>
    </row>
    <row r="210" spans="8:9" x14ac:dyDescent="0.3">
      <c r="H210" s="16" t="s">
        <v>232</v>
      </c>
      <c r="I210" s="14">
        <v>43428</v>
      </c>
    </row>
    <row r="211" spans="8:9" x14ac:dyDescent="0.3">
      <c r="H211" s="16" t="s">
        <v>608</v>
      </c>
      <c r="I211" s="14">
        <v>119151</v>
      </c>
    </row>
    <row r="212" spans="8:9" x14ac:dyDescent="0.3">
      <c r="H212" s="16" t="s">
        <v>108</v>
      </c>
      <c r="I212" s="14">
        <v>230115</v>
      </c>
    </row>
    <row r="213" spans="8:9" x14ac:dyDescent="0.3">
      <c r="H213" s="16" t="s">
        <v>559</v>
      </c>
      <c r="I213" s="14">
        <v>50230</v>
      </c>
    </row>
    <row r="214" spans="8:9" x14ac:dyDescent="0.3">
      <c r="H214" s="16" t="s">
        <v>664</v>
      </c>
      <c r="I214" s="14">
        <v>35045</v>
      </c>
    </row>
    <row r="215" spans="8:9" x14ac:dyDescent="0.3">
      <c r="H215" s="16" t="s">
        <v>212</v>
      </c>
      <c r="I215" s="14">
        <v>214342</v>
      </c>
    </row>
    <row r="216" spans="8:9" x14ac:dyDescent="0.3">
      <c r="H216" s="16" t="s">
        <v>37</v>
      </c>
      <c r="I216" s="14">
        <v>408091</v>
      </c>
    </row>
    <row r="217" spans="8:9" x14ac:dyDescent="0.3">
      <c r="H217" s="16" t="s">
        <v>497</v>
      </c>
      <c r="I217" s="14">
        <v>621764</v>
      </c>
    </row>
    <row r="218" spans="8:9" x14ac:dyDescent="0.3">
      <c r="H218" s="16" t="s">
        <v>80</v>
      </c>
      <c r="I218" s="14">
        <v>8562</v>
      </c>
    </row>
    <row r="219" spans="8:9" x14ac:dyDescent="0.3">
      <c r="H219" s="16" t="s">
        <v>544</v>
      </c>
      <c r="I219" s="14">
        <v>152627</v>
      </c>
    </row>
    <row r="220" spans="8:9" x14ac:dyDescent="0.3">
      <c r="H220" s="16" t="s">
        <v>662</v>
      </c>
      <c r="I220" s="14">
        <v>541824</v>
      </c>
    </row>
    <row r="221" spans="8:9" x14ac:dyDescent="0.3">
      <c r="H221" s="16" t="s">
        <v>180</v>
      </c>
      <c r="I221" s="14">
        <v>150717</v>
      </c>
    </row>
    <row r="222" spans="8:9" x14ac:dyDescent="0.3">
      <c r="H222" s="16" t="s">
        <v>406</v>
      </c>
      <c r="I222" s="14">
        <v>54114</v>
      </c>
    </row>
    <row r="223" spans="8:9" x14ac:dyDescent="0.3">
      <c r="H223" s="16" t="s">
        <v>658</v>
      </c>
      <c r="I223" s="14">
        <v>56057</v>
      </c>
    </row>
    <row r="224" spans="8:9" x14ac:dyDescent="0.3">
      <c r="H224" s="16" t="s">
        <v>257</v>
      </c>
      <c r="I224" s="14">
        <v>52255</v>
      </c>
    </row>
    <row r="225" spans="8:9" x14ac:dyDescent="0.3">
      <c r="H225" s="16" t="s">
        <v>505</v>
      </c>
      <c r="I225" s="14">
        <v>44672</v>
      </c>
    </row>
    <row r="226" spans="8:9" x14ac:dyDescent="0.3">
      <c r="H226" s="16" t="s">
        <v>672</v>
      </c>
      <c r="I226" s="14">
        <v>11959</v>
      </c>
    </row>
    <row r="227" spans="8:9" x14ac:dyDescent="0.3">
      <c r="H227" s="16" t="s">
        <v>359</v>
      </c>
      <c r="I227" s="14">
        <v>18472</v>
      </c>
    </row>
    <row r="228" spans="8:9" x14ac:dyDescent="0.3">
      <c r="H228" s="16" t="s">
        <v>448</v>
      </c>
      <c r="I228" s="14">
        <v>9648</v>
      </c>
    </row>
    <row r="229" spans="8:9" x14ac:dyDescent="0.3">
      <c r="H229" s="16" t="s">
        <v>122</v>
      </c>
      <c r="I229" s="14">
        <v>323115</v>
      </c>
    </row>
    <row r="230" spans="8:9" x14ac:dyDescent="0.3">
      <c r="H230" s="16" t="s">
        <v>182</v>
      </c>
      <c r="I230" s="14">
        <v>366256</v>
      </c>
    </row>
    <row r="231" spans="8:9" x14ac:dyDescent="0.3">
      <c r="H231" s="16" t="s">
        <v>336</v>
      </c>
      <c r="I231" s="14">
        <v>29452</v>
      </c>
    </row>
    <row r="232" spans="8:9" x14ac:dyDescent="0.3">
      <c r="H232" s="16" t="s">
        <v>67</v>
      </c>
      <c r="I232" s="14">
        <v>28413</v>
      </c>
    </row>
    <row r="233" spans="8:9" x14ac:dyDescent="0.3">
      <c r="H233" s="16" t="s">
        <v>217</v>
      </c>
      <c r="I233" s="14">
        <v>203136</v>
      </c>
    </row>
    <row r="234" spans="8:9" x14ac:dyDescent="0.3">
      <c r="H234" s="16" t="s">
        <v>523</v>
      </c>
      <c r="I234" s="14">
        <v>3138</v>
      </c>
    </row>
    <row r="235" spans="8:9" x14ac:dyDescent="0.3">
      <c r="H235" s="16" t="s">
        <v>402</v>
      </c>
      <c r="I235" s="14">
        <v>13704</v>
      </c>
    </row>
    <row r="236" spans="8:9" x14ac:dyDescent="0.3">
      <c r="H236" s="16" t="s">
        <v>356</v>
      </c>
      <c r="I236" s="14">
        <v>56938</v>
      </c>
    </row>
    <row r="237" spans="8:9" x14ac:dyDescent="0.3">
      <c r="H237" s="16" t="s">
        <v>582</v>
      </c>
      <c r="I237" s="14">
        <v>10099</v>
      </c>
    </row>
    <row r="238" spans="8:9" x14ac:dyDescent="0.3">
      <c r="H238" s="16" t="s">
        <v>142</v>
      </c>
      <c r="I238" s="14">
        <v>144718</v>
      </c>
    </row>
    <row r="239" spans="8:9" x14ac:dyDescent="0.3">
      <c r="H239" s="16" t="s">
        <v>115</v>
      </c>
      <c r="I239" s="14">
        <v>270906</v>
      </c>
    </row>
    <row r="240" spans="8:9" x14ac:dyDescent="0.3">
      <c r="H240" s="16" t="s">
        <v>439</v>
      </c>
      <c r="I240" s="14">
        <v>11709</v>
      </c>
    </row>
    <row r="241" spans="8:9" x14ac:dyDescent="0.3">
      <c r="H241" s="16" t="s">
        <v>304</v>
      </c>
      <c r="I241" s="14">
        <v>22946</v>
      </c>
    </row>
    <row r="242" spans="8:9" x14ac:dyDescent="0.3">
      <c r="H242" s="16" t="s">
        <v>475</v>
      </c>
      <c r="I242" s="14">
        <v>614223</v>
      </c>
    </row>
    <row r="243" spans="8:9" x14ac:dyDescent="0.3">
      <c r="H243" s="16" t="s">
        <v>175</v>
      </c>
      <c r="I243" s="14">
        <v>59511</v>
      </c>
    </row>
    <row r="244" spans="8:9" x14ac:dyDescent="0.3">
      <c r="H244" s="16" t="s">
        <v>682</v>
      </c>
      <c r="I244" s="14">
        <v>11968</v>
      </c>
    </row>
    <row r="245" spans="8:9" x14ac:dyDescent="0.3">
      <c r="H245" s="16" t="s">
        <v>162</v>
      </c>
      <c r="I245" s="14">
        <v>355614</v>
      </c>
    </row>
    <row r="246" spans="8:9" x14ac:dyDescent="0.3">
      <c r="H246" s="16" t="s">
        <v>410</v>
      </c>
      <c r="I246" s="14">
        <v>20374</v>
      </c>
    </row>
    <row r="247" spans="8:9" x14ac:dyDescent="0.3">
      <c r="H247" s="16" t="s">
        <v>668</v>
      </c>
      <c r="I247" s="14">
        <v>33807</v>
      </c>
    </row>
    <row r="248" spans="8:9" x14ac:dyDescent="0.3">
      <c r="H248" s="16" t="s">
        <v>415</v>
      </c>
      <c r="I248" s="14">
        <v>86888</v>
      </c>
    </row>
    <row r="249" spans="8:9" x14ac:dyDescent="0.3">
      <c r="H249" s="16" t="s">
        <v>322</v>
      </c>
      <c r="I249" s="14">
        <v>10210</v>
      </c>
    </row>
    <row r="250" spans="8:9" x14ac:dyDescent="0.3">
      <c r="H250" s="16" t="s">
        <v>563</v>
      </c>
      <c r="I250" s="14">
        <v>27518</v>
      </c>
    </row>
    <row r="251" spans="8:9" x14ac:dyDescent="0.3">
      <c r="H251" s="16" t="s">
        <v>585</v>
      </c>
      <c r="I251" s="14">
        <v>20748</v>
      </c>
    </row>
    <row r="252" spans="8:9" x14ac:dyDescent="0.3">
      <c r="H252" s="16" t="s">
        <v>577</v>
      </c>
      <c r="I252" s="14">
        <v>13521</v>
      </c>
    </row>
    <row r="253" spans="8:9" x14ac:dyDescent="0.3">
      <c r="H253" s="16" t="s">
        <v>193</v>
      </c>
      <c r="I253" s="14">
        <v>17744</v>
      </c>
    </row>
    <row r="254" spans="8:9" x14ac:dyDescent="0.3">
      <c r="H254" s="16" t="s">
        <v>230</v>
      </c>
      <c r="I254" s="14">
        <v>23340</v>
      </c>
    </row>
    <row r="255" spans="8:9" x14ac:dyDescent="0.3">
      <c r="H255" s="16" t="s">
        <v>353</v>
      </c>
      <c r="I255" s="14">
        <v>212372</v>
      </c>
    </row>
    <row r="256" spans="8:9" x14ac:dyDescent="0.3">
      <c r="H256" s="16" t="s">
        <v>382</v>
      </c>
      <c r="I256" s="14">
        <v>559220</v>
      </c>
    </row>
    <row r="257" spans="8:9" x14ac:dyDescent="0.3">
      <c r="H257" s="16" t="s">
        <v>236</v>
      </c>
      <c r="I257" s="14">
        <v>225198</v>
      </c>
    </row>
    <row r="258" spans="8:9" x14ac:dyDescent="0.3">
      <c r="H258" s="16" t="s">
        <v>571</v>
      </c>
      <c r="I258" s="14">
        <v>26761</v>
      </c>
    </row>
    <row r="259" spans="8:9" x14ac:dyDescent="0.3">
      <c r="H259" s="16" t="s">
        <v>330</v>
      </c>
      <c r="I259" s="14">
        <v>17403</v>
      </c>
    </row>
    <row r="260" spans="8:9" x14ac:dyDescent="0.3">
      <c r="H260" s="16" t="s">
        <v>400</v>
      </c>
      <c r="I260" s="14">
        <v>237155</v>
      </c>
    </row>
    <row r="261" spans="8:9" x14ac:dyDescent="0.3">
      <c r="H261" s="16" t="s">
        <v>273</v>
      </c>
      <c r="I261" s="14">
        <v>35838</v>
      </c>
    </row>
    <row r="262" spans="8:9" x14ac:dyDescent="0.3">
      <c r="H262" s="16" t="s">
        <v>510</v>
      </c>
      <c r="I262" s="14">
        <v>55756</v>
      </c>
    </row>
    <row r="263" spans="8:9" x14ac:dyDescent="0.3">
      <c r="H263" s="16" t="s">
        <v>603</v>
      </c>
      <c r="I263" s="14">
        <v>21783</v>
      </c>
    </row>
    <row r="264" spans="8:9" x14ac:dyDescent="0.3">
      <c r="H264" s="16" t="s">
        <v>69</v>
      </c>
      <c r="I264" s="14">
        <v>40630</v>
      </c>
    </row>
    <row r="265" spans="8:9" x14ac:dyDescent="0.3">
      <c r="H265" s="16" t="s">
        <v>423</v>
      </c>
      <c r="I265" s="14">
        <v>73967</v>
      </c>
    </row>
    <row r="266" spans="8:9" x14ac:dyDescent="0.3">
      <c r="H266" s="16" t="s">
        <v>417</v>
      </c>
      <c r="I266" s="14">
        <v>5499</v>
      </c>
    </row>
    <row r="267" spans="8:9" x14ac:dyDescent="0.3">
      <c r="H267" s="16" t="s">
        <v>297</v>
      </c>
      <c r="I267" s="14">
        <v>6680</v>
      </c>
    </row>
    <row r="268" spans="8:9" x14ac:dyDescent="0.3">
      <c r="H268" s="16" t="s">
        <v>569</v>
      </c>
      <c r="I268" s="14">
        <v>6040</v>
      </c>
    </row>
    <row r="269" spans="8:9" x14ac:dyDescent="0.3">
      <c r="H269" s="16" t="s">
        <v>53</v>
      </c>
      <c r="I269" s="14">
        <v>37575</v>
      </c>
    </row>
    <row r="270" spans="8:9" x14ac:dyDescent="0.3">
      <c r="H270" s="16" t="s">
        <v>245</v>
      </c>
      <c r="I270" s="14">
        <v>30213</v>
      </c>
    </row>
    <row r="271" spans="8:9" x14ac:dyDescent="0.3">
      <c r="H271" s="16" t="s">
        <v>206</v>
      </c>
      <c r="I271" s="14">
        <v>343514</v>
      </c>
    </row>
    <row r="272" spans="8:9" x14ac:dyDescent="0.3">
      <c r="H272" s="16" t="s">
        <v>599</v>
      </c>
      <c r="I272" s="14">
        <v>442114</v>
      </c>
    </row>
    <row r="273" spans="8:9" x14ac:dyDescent="0.3">
      <c r="H273" s="16" t="s">
        <v>646</v>
      </c>
      <c r="I273" s="14">
        <v>70671</v>
      </c>
    </row>
    <row r="274" spans="8:9" x14ac:dyDescent="0.3">
      <c r="H274" s="16" t="s">
        <v>371</v>
      </c>
      <c r="I274" s="14">
        <v>38035</v>
      </c>
    </row>
    <row r="275" spans="8:9" x14ac:dyDescent="0.3">
      <c r="H275" s="16" t="s">
        <v>579</v>
      </c>
      <c r="I275" s="14">
        <v>10481</v>
      </c>
    </row>
    <row r="276" spans="8:9" x14ac:dyDescent="0.3">
      <c r="H276" s="16" t="s">
        <v>120</v>
      </c>
      <c r="I276" s="14">
        <v>1675988</v>
      </c>
    </row>
    <row r="277" spans="8:9" x14ac:dyDescent="0.3">
      <c r="H277" s="16" t="s">
        <v>420</v>
      </c>
      <c r="I277" s="14">
        <v>41019</v>
      </c>
    </row>
    <row r="278" spans="8:9" x14ac:dyDescent="0.3">
      <c r="H278" s="16" t="s">
        <v>295</v>
      </c>
      <c r="I278" s="14">
        <v>9339</v>
      </c>
    </row>
    <row r="279" spans="8:9" x14ac:dyDescent="0.3">
      <c r="H279" s="16" t="s">
        <v>589</v>
      </c>
      <c r="I279" s="14">
        <v>142744</v>
      </c>
    </row>
    <row r="280" spans="8:9" x14ac:dyDescent="0.3">
      <c r="H280" s="16" t="s">
        <v>228</v>
      </c>
      <c r="I280" s="14">
        <v>16566</v>
      </c>
    </row>
    <row r="281" spans="8:9" x14ac:dyDescent="0.3">
      <c r="H281" s="16" t="s">
        <v>349</v>
      </c>
      <c r="I281" s="14">
        <v>66897</v>
      </c>
    </row>
    <row r="282" spans="8:9" x14ac:dyDescent="0.3">
      <c r="H282" s="16" t="s">
        <v>627</v>
      </c>
      <c r="I282" s="14">
        <v>18716</v>
      </c>
    </row>
    <row r="283" spans="8:9" x14ac:dyDescent="0.3">
      <c r="H283" s="16" t="s">
        <v>499</v>
      </c>
      <c r="I283" s="14">
        <v>79181</v>
      </c>
    </row>
    <row r="284" spans="8:9" x14ac:dyDescent="0.3">
      <c r="H284" s="16" t="s">
        <v>343</v>
      </c>
      <c r="I284" s="14">
        <v>14406</v>
      </c>
    </row>
    <row r="285" spans="8:9" x14ac:dyDescent="0.3">
      <c r="H285" s="16" t="s">
        <v>553</v>
      </c>
      <c r="I285" s="14">
        <v>3737</v>
      </c>
    </row>
    <row r="286" spans="8:9" x14ac:dyDescent="0.3">
      <c r="H286" s="16" t="s">
        <v>708</v>
      </c>
      <c r="I286" s="14">
        <v>246805</v>
      </c>
    </row>
    <row r="287" spans="8:9" x14ac:dyDescent="0.3">
      <c r="H287" s="16" t="s">
        <v>275</v>
      </c>
      <c r="I287" s="14">
        <v>6667</v>
      </c>
    </row>
    <row r="288" spans="8:9" x14ac:dyDescent="0.3">
      <c r="H288" s="16" t="s">
        <v>375</v>
      </c>
      <c r="I288" s="14">
        <v>1015979</v>
      </c>
    </row>
    <row r="289" spans="8:9" x14ac:dyDescent="0.3">
      <c r="H289" s="16" t="s">
        <v>164</v>
      </c>
      <c r="I289" s="14">
        <v>1224740</v>
      </c>
    </row>
    <row r="290" spans="8:9" x14ac:dyDescent="0.3">
      <c r="H290" s="16" t="s">
        <v>514</v>
      </c>
      <c r="I290" s="14">
        <v>14945</v>
      </c>
    </row>
    <row r="291" spans="8:9" x14ac:dyDescent="0.3">
      <c r="H291" s="16" t="s">
        <v>686</v>
      </c>
      <c r="I291" s="14">
        <v>118282</v>
      </c>
    </row>
    <row r="292" spans="8:9" x14ac:dyDescent="0.3">
      <c r="H292" s="16" t="s">
        <v>103</v>
      </c>
      <c r="I292" s="14">
        <v>21200</v>
      </c>
    </row>
    <row r="293" spans="8:9" x14ac:dyDescent="0.3">
      <c r="H293" s="16" t="s">
        <v>538</v>
      </c>
      <c r="I293" s="14">
        <v>27049</v>
      </c>
    </row>
    <row r="294" spans="8:9" x14ac:dyDescent="0.3">
      <c r="H294" s="16" t="s">
        <v>512</v>
      </c>
      <c r="I294" s="14">
        <v>38516</v>
      </c>
    </row>
    <row r="295" spans="8:9" x14ac:dyDescent="0.3">
      <c r="H295" s="16" t="s">
        <v>606</v>
      </c>
      <c r="I295" s="14">
        <v>20046</v>
      </c>
    </row>
    <row r="296" spans="8:9" x14ac:dyDescent="0.3">
      <c r="H296" s="16" t="s">
        <v>744</v>
      </c>
      <c r="I296" s="14">
        <v>32568773</v>
      </c>
    </row>
    <row r="297" spans="8:9" x14ac:dyDescent="0.3">
      <c r="H297" s="16" t="s">
        <v>742</v>
      </c>
      <c r="I297" s="14">
        <v>65137546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W395"/>
  <sheetViews>
    <sheetView tabSelected="1" zoomScale="72" workbookViewId="0">
      <selection activeCell="B18" sqref="B18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bestFit="1" customWidth="1"/>
    <col min="7" max="7" width="14.109375" style="5" customWidth="1"/>
    <col min="8" max="8" width="8" style="12" bestFit="1" customWidth="1"/>
    <col min="9" max="9" width="9.44140625" style="12" bestFit="1" customWidth="1"/>
    <col min="10" max="10" width="10.44140625" bestFit="1" customWidth="1"/>
    <col min="11" max="11" width="10.21875" bestFit="1" customWidth="1"/>
    <col min="13" max="13" width="11.33203125" bestFit="1" customWidth="1"/>
    <col min="14" max="14" width="25.88671875" bestFit="1" customWidth="1"/>
    <col min="15" max="15" width="10.44140625" bestFit="1" customWidth="1"/>
    <col min="16" max="16" width="15.21875" bestFit="1" customWidth="1"/>
    <col min="17" max="17" width="9.88671875" bestFit="1" customWidth="1"/>
    <col min="18" max="18" width="14.44140625" bestFit="1" customWidth="1"/>
    <col min="19" max="19" width="16" bestFit="1" customWidth="1"/>
    <col min="20" max="20" width="8.109375" bestFit="1" customWidth="1"/>
    <col min="21" max="21" width="9.5546875" bestFit="1" customWidth="1"/>
    <col min="22" max="22" width="10.33203125" bestFit="1" customWidth="1"/>
    <col min="23" max="23" width="10" bestFit="1" customWidth="1"/>
    <col min="24" max="24" width="9" bestFit="1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0" t="s">
        <v>7</v>
      </c>
      <c r="I1" s="10" t="s">
        <v>8</v>
      </c>
      <c r="J1" s="1" t="s">
        <v>9</v>
      </c>
      <c r="K1" s="1" t="s">
        <v>10</v>
      </c>
    </row>
    <row r="2" spans="1:17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13</v>
      </c>
      <c r="G2" s="4" t="s">
        <v>15</v>
      </c>
      <c r="H2" s="11" t="s">
        <v>16</v>
      </c>
      <c r="I2" s="11" t="s">
        <v>17</v>
      </c>
      <c r="J2" s="2">
        <v>6864</v>
      </c>
      <c r="K2" s="2">
        <v>34322</v>
      </c>
    </row>
    <row r="3" spans="1:17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13</v>
      </c>
      <c r="G3" s="4" t="s">
        <v>20</v>
      </c>
      <c r="H3" s="11" t="s">
        <v>16</v>
      </c>
      <c r="I3" s="11" t="s">
        <v>17</v>
      </c>
      <c r="J3" s="2">
        <v>7930</v>
      </c>
      <c r="K3" s="2">
        <v>150674</v>
      </c>
    </row>
    <row r="4" spans="1:17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13</v>
      </c>
      <c r="G4" s="4" t="s">
        <v>22</v>
      </c>
      <c r="H4" s="11" t="s">
        <v>23</v>
      </c>
      <c r="I4" s="11" t="s">
        <v>17</v>
      </c>
      <c r="J4" s="2">
        <v>15652</v>
      </c>
      <c r="K4" s="2">
        <v>281735</v>
      </c>
    </row>
    <row r="5" spans="1:17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13</v>
      </c>
      <c r="G5" s="4" t="s">
        <v>15</v>
      </c>
      <c r="H5" s="11" t="s">
        <v>25</v>
      </c>
      <c r="I5" s="11" t="s">
        <v>26</v>
      </c>
      <c r="J5" s="2">
        <v>14042</v>
      </c>
      <c r="K5" s="2">
        <v>379132</v>
      </c>
    </row>
    <row r="6" spans="1:17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13</v>
      </c>
      <c r="G6" s="4" t="s">
        <v>22</v>
      </c>
      <c r="H6" s="11" t="s">
        <v>28</v>
      </c>
      <c r="I6" s="11" t="s">
        <v>29</v>
      </c>
      <c r="J6" s="2">
        <v>21477</v>
      </c>
      <c r="K6" s="2">
        <v>193292</v>
      </c>
      <c r="N6" s="7" t="s">
        <v>714</v>
      </c>
      <c r="O6" s="6" t="s">
        <v>5</v>
      </c>
      <c r="P6" s="7" t="s">
        <v>715</v>
      </c>
      <c r="Q6" s="7" t="s">
        <v>716</v>
      </c>
    </row>
    <row r="7" spans="1:17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13</v>
      </c>
      <c r="G7" s="4" t="s">
        <v>15</v>
      </c>
      <c r="H7" s="11" t="s">
        <v>34</v>
      </c>
      <c r="I7" s="11" t="s">
        <v>35</v>
      </c>
      <c r="J7" s="2">
        <v>3531</v>
      </c>
      <c r="K7" s="2">
        <v>31779</v>
      </c>
      <c r="N7" s="8">
        <f>SUM(E1:E394)</f>
        <v>38335069.949000001</v>
      </c>
      <c r="O7" s="8">
        <f t="shared" ref="O7" si="0">SUM(F1:F394)</f>
        <v>0</v>
      </c>
      <c r="P7" s="8">
        <f>SUM(J1:J394)</f>
        <v>3202883</v>
      </c>
      <c r="Q7" s="8">
        <f>SUM(J1:J394)</f>
        <v>3202883</v>
      </c>
    </row>
    <row r="8" spans="1:17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13</v>
      </c>
      <c r="G8" s="4" t="s">
        <v>15</v>
      </c>
      <c r="H8" s="11" t="s">
        <v>34</v>
      </c>
      <c r="I8" s="11" t="s">
        <v>35</v>
      </c>
      <c r="J8" s="2">
        <v>40809</v>
      </c>
      <c r="K8" s="2">
        <v>408091</v>
      </c>
    </row>
    <row r="9" spans="1:17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13</v>
      </c>
      <c r="G9" s="4" t="s">
        <v>15</v>
      </c>
      <c r="H9" s="11" t="s">
        <v>34</v>
      </c>
      <c r="I9" s="11" t="s">
        <v>35</v>
      </c>
      <c r="J9" s="2">
        <v>2445</v>
      </c>
      <c r="K9" s="2">
        <v>24448</v>
      </c>
    </row>
    <row r="10" spans="1:17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13</v>
      </c>
      <c r="G10" s="4" t="s">
        <v>15</v>
      </c>
      <c r="H10" s="11" t="s">
        <v>34</v>
      </c>
      <c r="I10" s="11" t="s">
        <v>35</v>
      </c>
      <c r="J10" s="2">
        <v>2541</v>
      </c>
      <c r="K10" s="2">
        <v>30491</v>
      </c>
    </row>
    <row r="11" spans="1:17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13</v>
      </c>
      <c r="G11" s="4" t="s">
        <v>20</v>
      </c>
      <c r="H11" s="11" t="s">
        <v>34</v>
      </c>
      <c r="I11" s="11" t="s">
        <v>35</v>
      </c>
      <c r="J11" s="2">
        <v>1976</v>
      </c>
      <c r="K11" s="2">
        <v>5927</v>
      </c>
    </row>
    <row r="12" spans="1:17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13</v>
      </c>
      <c r="G12" s="4" t="s">
        <v>15</v>
      </c>
      <c r="H12" s="11" t="s">
        <v>34</v>
      </c>
      <c r="I12" s="11" t="s">
        <v>35</v>
      </c>
      <c r="J12" s="2">
        <v>5057</v>
      </c>
      <c r="K12" s="2">
        <v>96087</v>
      </c>
    </row>
    <row r="13" spans="1:17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13</v>
      </c>
      <c r="G13" s="4" t="s">
        <v>20</v>
      </c>
      <c r="H13" s="11" t="s">
        <v>34</v>
      </c>
      <c r="I13" s="11" t="s">
        <v>35</v>
      </c>
      <c r="J13" s="2">
        <v>2368</v>
      </c>
      <c r="K13" s="2">
        <v>40264</v>
      </c>
    </row>
    <row r="14" spans="1:17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13</v>
      </c>
      <c r="G14" s="4" t="s">
        <v>20</v>
      </c>
      <c r="H14" s="11" t="s">
        <v>34</v>
      </c>
      <c r="I14" s="11" t="s">
        <v>35</v>
      </c>
      <c r="J14" s="2">
        <v>635</v>
      </c>
      <c r="K14" s="2">
        <v>5714</v>
      </c>
    </row>
    <row r="15" spans="1:17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13</v>
      </c>
      <c r="G15" s="4" t="s">
        <v>20</v>
      </c>
      <c r="H15" s="11" t="s">
        <v>34</v>
      </c>
      <c r="I15" s="11" t="s">
        <v>35</v>
      </c>
      <c r="J15" s="2">
        <v>1388</v>
      </c>
      <c r="K15" s="2">
        <v>16656</v>
      </c>
    </row>
    <row r="16" spans="1:17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13</v>
      </c>
      <c r="G16" s="4" t="s">
        <v>22</v>
      </c>
      <c r="H16" s="11" t="s">
        <v>34</v>
      </c>
      <c r="I16" s="11" t="s">
        <v>35</v>
      </c>
      <c r="J16" s="2">
        <v>2890</v>
      </c>
      <c r="K16" s="2">
        <v>37575</v>
      </c>
    </row>
    <row r="17" spans="1:23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13</v>
      </c>
      <c r="G17" s="4" t="s">
        <v>15</v>
      </c>
      <c r="H17" s="11" t="s">
        <v>28</v>
      </c>
      <c r="I17" s="11" t="s">
        <v>29</v>
      </c>
      <c r="J17" s="2">
        <v>23727</v>
      </c>
      <c r="K17" s="2">
        <v>142362</v>
      </c>
      <c r="M17" s="9" t="s">
        <v>717</v>
      </c>
      <c r="N17" s="9" t="s">
        <v>718</v>
      </c>
      <c r="O17" s="9" t="s">
        <v>2</v>
      </c>
      <c r="P17" s="9" t="s">
        <v>3</v>
      </c>
      <c r="Q17" s="9" t="s">
        <v>4</v>
      </c>
      <c r="R17" s="9" t="s">
        <v>5</v>
      </c>
      <c r="S17" s="9" t="s">
        <v>6</v>
      </c>
      <c r="T17" s="9" t="s">
        <v>7</v>
      </c>
      <c r="U17" s="9" t="s">
        <v>8</v>
      </c>
      <c r="V17" s="9" t="s">
        <v>9</v>
      </c>
      <c r="W17" s="9" t="s">
        <v>719</v>
      </c>
    </row>
    <row r="18" spans="1:23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13</v>
      </c>
      <c r="G18" s="4" t="s">
        <v>20</v>
      </c>
      <c r="H18" s="11" t="s">
        <v>34</v>
      </c>
      <c r="I18" s="11" t="s">
        <v>35</v>
      </c>
      <c r="J18" s="2">
        <v>5474</v>
      </c>
      <c r="K18" s="2">
        <v>76641</v>
      </c>
      <c r="M18" s="2" t="s">
        <v>128</v>
      </c>
      <c r="N18" s="2" t="str" cm="1">
        <f t="array" ref="N18:W18">_xlfn.XLOOKUP(M18,A2:A394,B2:K394,"not found",0)</f>
        <v>Mechanical</v>
      </c>
      <c r="O18" s="2" t="str">
        <v>5 years</v>
      </c>
      <c r="P18" s="2" t="str">
        <v>Rent</v>
      </c>
      <c r="Q18" s="2">
        <v>49000</v>
      </c>
      <c r="R18" s="2" t="str">
        <v>none</v>
      </c>
      <c r="S18" s="2" t="str">
        <v>Source Verified</v>
      </c>
      <c r="T18" s="2" t="str">
        <v>109xx</v>
      </c>
      <c r="U18" s="2" t="str">
        <v>NY</v>
      </c>
      <c r="V18" s="2">
        <v>2192</v>
      </c>
      <c r="W18" s="2">
        <v>19731</v>
      </c>
    </row>
    <row r="19" spans="1:23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13</v>
      </c>
      <c r="G19" s="4" t="s">
        <v>20</v>
      </c>
      <c r="H19" s="11" t="s">
        <v>34</v>
      </c>
      <c r="I19" s="11" t="s">
        <v>35</v>
      </c>
      <c r="J19" s="2">
        <v>6927</v>
      </c>
      <c r="K19" s="2">
        <v>69267</v>
      </c>
      <c r="M19" s="2" t="s">
        <v>64</v>
      </c>
      <c r="N19" s="2" t="str" cm="1">
        <f t="array" ref="N19:W19">_xlfn.XLOOKUP(M19,A3:A395,B3:K395,"not found",0)</f>
        <v>Corrections Officer</v>
      </c>
      <c r="O19" s="2" t="str">
        <v>5 years</v>
      </c>
      <c r="P19" s="2" t="str">
        <v>Mortgage</v>
      </c>
      <c r="Q19" s="2">
        <v>74000</v>
      </c>
      <c r="R19" s="2" t="str">
        <v>none</v>
      </c>
      <c r="S19" s="2" t="str">
        <v>Verified</v>
      </c>
      <c r="T19" s="2" t="str">
        <v>107xx</v>
      </c>
      <c r="U19" s="2" t="str">
        <v>NY</v>
      </c>
      <c r="V19" s="2">
        <v>47824</v>
      </c>
      <c r="W19" s="2">
        <v>382595</v>
      </c>
    </row>
    <row r="20" spans="1:23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13</v>
      </c>
      <c r="G20" s="4" t="s">
        <v>20</v>
      </c>
      <c r="H20" s="11" t="s">
        <v>34</v>
      </c>
      <c r="I20" s="11" t="s">
        <v>35</v>
      </c>
      <c r="J20" s="2">
        <v>1002</v>
      </c>
      <c r="K20" s="2">
        <v>7013</v>
      </c>
      <c r="M20" s="2" t="s">
        <v>132</v>
      </c>
      <c r="N20" s="2" t="str" cm="1">
        <f t="array" ref="N20:W20">_xlfn.XLOOKUP(M20,A4:A396,B4:K396,"not found",0)</f>
        <v xml:space="preserve">Claims Adjuster </v>
      </c>
      <c r="O20" s="2" t="str">
        <v>5 years</v>
      </c>
      <c r="P20" s="2" t="str">
        <v>Rent</v>
      </c>
      <c r="Q20" s="2">
        <v>38000</v>
      </c>
      <c r="R20" s="2" t="str">
        <v>none</v>
      </c>
      <c r="S20" s="2" t="str">
        <v>Not Verified</v>
      </c>
      <c r="T20" s="2" t="str">
        <v>109xx</v>
      </c>
      <c r="U20" s="2" t="str">
        <v>NY</v>
      </c>
      <c r="V20" s="2">
        <v>1381</v>
      </c>
      <c r="W20" s="2">
        <v>19340</v>
      </c>
    </row>
    <row r="21" spans="1:23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13</v>
      </c>
      <c r="G21" s="4" t="s">
        <v>22</v>
      </c>
      <c r="H21" s="11" t="s">
        <v>34</v>
      </c>
      <c r="I21" s="11" t="s">
        <v>35</v>
      </c>
      <c r="J21" s="2">
        <v>1441</v>
      </c>
      <c r="K21" s="2">
        <v>28818</v>
      </c>
      <c r="M21" s="2" t="s">
        <v>134</v>
      </c>
      <c r="N21" s="2" t="str" cm="1">
        <f t="array" ref="N21:W21">_xlfn.XLOOKUP(M21,A5:A397,B5:K397,"not found",0)</f>
        <v>Csr</v>
      </c>
      <c r="O21" s="2" t="str">
        <v>5 years</v>
      </c>
      <c r="P21" s="2" t="str">
        <v>Mortgage</v>
      </c>
      <c r="Q21" s="2">
        <v>65000</v>
      </c>
      <c r="R21" s="2" t="str">
        <v>none</v>
      </c>
      <c r="S21" s="2" t="str">
        <v>Not Verified</v>
      </c>
      <c r="T21" s="2" t="str">
        <v>109xx</v>
      </c>
      <c r="U21" s="2" t="str">
        <v>NY</v>
      </c>
      <c r="V21" s="2">
        <v>20384</v>
      </c>
      <c r="W21" s="2">
        <v>448449</v>
      </c>
    </row>
    <row r="22" spans="1:23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13</v>
      </c>
      <c r="G22" s="4" t="s">
        <v>20</v>
      </c>
      <c r="H22" s="11" t="s">
        <v>34</v>
      </c>
      <c r="I22" s="11" t="s">
        <v>35</v>
      </c>
      <c r="J22" s="2">
        <v>2576</v>
      </c>
      <c r="K22" s="2">
        <v>36059</v>
      </c>
      <c r="M22" s="2" t="s">
        <v>136</v>
      </c>
      <c r="N22" s="2" t="str" cm="1">
        <f t="array" ref="N22:W22">_xlfn.XLOOKUP(M22,A6:A398,B6:K398,"not found",0)</f>
        <v>Application Developer</v>
      </c>
      <c r="O22" s="2" t="str">
        <v>5 years</v>
      </c>
      <c r="P22" s="2" t="str">
        <v>Mortgage</v>
      </c>
      <c r="Q22" s="2">
        <v>135000</v>
      </c>
      <c r="R22" s="2" t="str">
        <v>none</v>
      </c>
      <c r="S22" s="2" t="str">
        <v>Not Verified</v>
      </c>
      <c r="T22" s="2" t="str">
        <v>109xx</v>
      </c>
      <c r="U22" s="2" t="str">
        <v>NY</v>
      </c>
      <c r="V22" s="2">
        <v>35562</v>
      </c>
      <c r="W22" s="2">
        <v>355619</v>
      </c>
    </row>
    <row r="23" spans="1:23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13</v>
      </c>
      <c r="G23" s="4" t="s">
        <v>15</v>
      </c>
      <c r="H23" s="11" t="s">
        <v>34</v>
      </c>
      <c r="I23" s="11" t="s">
        <v>35</v>
      </c>
      <c r="J23" s="2">
        <v>47824</v>
      </c>
      <c r="K23" s="2">
        <v>382595</v>
      </c>
      <c r="M23" s="2" t="s">
        <v>138</v>
      </c>
      <c r="N23" s="2" t="str" cm="1">
        <f t="array" ref="N23:W23">_xlfn.XLOOKUP(M23,A7:A399,B7:K399,"not found",0)</f>
        <v>None</v>
      </c>
      <c r="O23" s="2" t="str">
        <v>none</v>
      </c>
      <c r="P23" s="2" t="str">
        <v>Mortgage</v>
      </c>
      <c r="Q23" s="2">
        <v>52800</v>
      </c>
      <c r="R23" s="2" t="str">
        <v>none</v>
      </c>
      <c r="S23" s="2" t="str">
        <v>Verified</v>
      </c>
      <c r="T23" s="2" t="str">
        <v>480xx</v>
      </c>
      <c r="U23" s="2" t="str">
        <v>MI</v>
      </c>
      <c r="V23" s="2">
        <v>21029</v>
      </c>
      <c r="W23" s="2">
        <v>105146</v>
      </c>
    </row>
    <row r="24" spans="1:23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13</v>
      </c>
      <c r="G24" s="4" t="s">
        <v>22</v>
      </c>
      <c r="H24" s="11" t="s">
        <v>34</v>
      </c>
      <c r="I24" s="11" t="s">
        <v>35</v>
      </c>
      <c r="J24" s="2">
        <v>2583</v>
      </c>
      <c r="K24" s="2">
        <v>28413</v>
      </c>
      <c r="M24" s="2" t="s">
        <v>139</v>
      </c>
      <c r="N24" s="2" t="str" cm="1">
        <f t="array" ref="N24:W24">_xlfn.XLOOKUP(M24,A8:A400,B8:K400,"not found",0)</f>
        <v>National Client Space Manager</v>
      </c>
      <c r="O24" s="2" t="str">
        <v>5 years</v>
      </c>
      <c r="P24" s="2" t="str">
        <v>Mortgage</v>
      </c>
      <c r="Q24" s="2">
        <v>86000</v>
      </c>
      <c r="R24" s="2" t="str">
        <v>none</v>
      </c>
      <c r="S24" s="2" t="str">
        <v>Source Verified</v>
      </c>
      <c r="T24" s="2" t="str">
        <v>109xx</v>
      </c>
      <c r="U24" s="2" t="str">
        <v>NY</v>
      </c>
      <c r="V24" s="2">
        <v>19868</v>
      </c>
      <c r="W24" s="2">
        <v>298017</v>
      </c>
    </row>
    <row r="25" spans="1:23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13</v>
      </c>
      <c r="G25" s="4" t="s">
        <v>22</v>
      </c>
      <c r="H25" s="11" t="s">
        <v>34</v>
      </c>
      <c r="I25" s="11" t="s">
        <v>35</v>
      </c>
      <c r="J25" s="2">
        <v>3125</v>
      </c>
      <c r="K25" s="2">
        <v>40630</v>
      </c>
      <c r="M25" s="2" t="s">
        <v>141</v>
      </c>
      <c r="N25" s="2" t="str" cm="1">
        <f t="array" ref="N25:W25">_xlfn.XLOOKUP(M25,A9:A401,B9:K401,"not found",0)</f>
        <v xml:space="preserve">School Psychologist </v>
      </c>
      <c r="O25" s="2" t="str">
        <v>5 years</v>
      </c>
      <c r="P25" s="2" t="str">
        <v>Rent</v>
      </c>
      <c r="Q25" s="2">
        <v>90000</v>
      </c>
      <c r="R25" s="2" t="str">
        <v>none</v>
      </c>
      <c r="S25" s="2" t="str">
        <v>Verified</v>
      </c>
      <c r="T25" s="2" t="str">
        <v>109xx</v>
      </c>
      <c r="U25" s="2" t="str">
        <v>NY</v>
      </c>
      <c r="V25" s="2">
        <v>11132</v>
      </c>
      <c r="W25" s="2">
        <v>144718</v>
      </c>
    </row>
    <row r="26" spans="1:23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13</v>
      </c>
      <c r="G26" s="4" t="s">
        <v>22</v>
      </c>
      <c r="H26" s="11" t="s">
        <v>34</v>
      </c>
      <c r="I26" s="11" t="s">
        <v>35</v>
      </c>
      <c r="J26" s="2">
        <v>5861</v>
      </c>
      <c r="K26" s="2">
        <v>111366</v>
      </c>
      <c r="M26" s="2" t="s">
        <v>143</v>
      </c>
      <c r="N26" s="2" t="str" cm="1">
        <f t="array" ref="N26:W26">_xlfn.XLOOKUP(M26,A10:A402,B10:K402,"not found",0)</f>
        <v>Teacher</v>
      </c>
      <c r="O26" s="2" t="str">
        <v>5 years</v>
      </c>
      <c r="P26" s="2" t="str">
        <v>Mortgage</v>
      </c>
      <c r="Q26" s="2">
        <v>96000</v>
      </c>
      <c r="R26" s="2" t="str">
        <v>none</v>
      </c>
      <c r="S26" s="2" t="str">
        <v>Not Verified</v>
      </c>
      <c r="T26" s="2" t="str">
        <v>109xx</v>
      </c>
      <c r="U26" s="2" t="str">
        <v>NY</v>
      </c>
      <c r="V26" s="2">
        <v>54834</v>
      </c>
      <c r="W26" s="2">
        <v>383838</v>
      </c>
    </row>
    <row r="27" spans="1:23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13</v>
      </c>
      <c r="G27" s="4" t="s">
        <v>20</v>
      </c>
      <c r="H27" s="11" t="s">
        <v>34</v>
      </c>
      <c r="I27" s="11" t="s">
        <v>35</v>
      </c>
      <c r="J27" s="2">
        <v>4791</v>
      </c>
      <c r="K27" s="2">
        <v>28747</v>
      </c>
    </row>
    <row r="28" spans="1:23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13</v>
      </c>
      <c r="G28" s="4" t="s">
        <v>15</v>
      </c>
      <c r="H28" s="11" t="s">
        <v>28</v>
      </c>
      <c r="I28" s="11" t="s">
        <v>29</v>
      </c>
      <c r="J28" s="2">
        <v>1297</v>
      </c>
      <c r="K28" s="2">
        <v>20751</v>
      </c>
    </row>
    <row r="29" spans="1:23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13</v>
      </c>
      <c r="G29" s="4" t="s">
        <v>22</v>
      </c>
      <c r="H29" s="11" t="s">
        <v>34</v>
      </c>
      <c r="I29" s="11" t="s">
        <v>35</v>
      </c>
      <c r="J29" s="2">
        <v>10787</v>
      </c>
      <c r="K29" s="2">
        <v>204961</v>
      </c>
    </row>
    <row r="30" spans="1:23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13</v>
      </c>
      <c r="G30" s="4" t="s">
        <v>15</v>
      </c>
      <c r="H30" s="11" t="s">
        <v>34</v>
      </c>
      <c r="I30" s="11" t="s">
        <v>35</v>
      </c>
      <c r="J30" s="2">
        <v>5000</v>
      </c>
      <c r="K30" s="2">
        <v>40001</v>
      </c>
    </row>
    <row r="31" spans="1:23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13</v>
      </c>
      <c r="G31" s="4" t="s">
        <v>22</v>
      </c>
      <c r="H31" s="11" t="s">
        <v>34</v>
      </c>
      <c r="I31" s="11" t="s">
        <v>35</v>
      </c>
      <c r="J31" s="2">
        <v>2141</v>
      </c>
      <c r="K31" s="2">
        <v>8562</v>
      </c>
    </row>
    <row r="32" spans="1:23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13</v>
      </c>
      <c r="G32" s="4" t="s">
        <v>15</v>
      </c>
      <c r="H32" s="11" t="s">
        <v>34</v>
      </c>
      <c r="I32" s="11" t="s">
        <v>35</v>
      </c>
      <c r="J32" s="2">
        <v>4095</v>
      </c>
      <c r="K32" s="2">
        <v>8189</v>
      </c>
    </row>
    <row r="33" spans="1:23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13</v>
      </c>
      <c r="G33" s="4" t="s">
        <v>20</v>
      </c>
      <c r="H33" s="11" t="s">
        <v>34</v>
      </c>
      <c r="I33" s="11" t="s">
        <v>35</v>
      </c>
      <c r="J33" s="2">
        <v>9618</v>
      </c>
      <c r="K33" s="2">
        <v>134654</v>
      </c>
      <c r="M33" s="9" t="s">
        <v>717</v>
      </c>
      <c r="N33" s="9" t="s">
        <v>718</v>
      </c>
      <c r="O33" s="9" t="s">
        <v>2</v>
      </c>
      <c r="P33" s="9" t="s">
        <v>3</v>
      </c>
      <c r="Q33" s="9" t="s">
        <v>4</v>
      </c>
      <c r="R33" s="9" t="s">
        <v>5</v>
      </c>
      <c r="S33" s="9" t="s">
        <v>6</v>
      </c>
      <c r="T33" s="9" t="s">
        <v>7</v>
      </c>
      <c r="U33" s="9" t="s">
        <v>8</v>
      </c>
      <c r="V33" s="9" t="s">
        <v>9</v>
      </c>
      <c r="W33" s="9" t="s">
        <v>719</v>
      </c>
    </row>
    <row r="34" spans="1:23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13</v>
      </c>
      <c r="G34" s="4" t="s">
        <v>22</v>
      </c>
      <c r="H34" s="11" t="s">
        <v>34</v>
      </c>
      <c r="I34" s="11" t="s">
        <v>35</v>
      </c>
      <c r="J34" s="2">
        <v>3398</v>
      </c>
      <c r="K34" s="2">
        <v>20389</v>
      </c>
      <c r="M34" s="13" t="s">
        <v>11</v>
      </c>
      <c r="N34" t="str" cm="1">
        <f t="array" ref="N34:W34">_xlfn.XLOOKUP(M34,A2:A394,B2:K394,"not found",-1)</f>
        <v>None</v>
      </c>
      <c r="O34" t="str">
        <v>none</v>
      </c>
      <c r="P34" t="str">
        <v>Rent</v>
      </c>
      <c r="Q34">
        <v>25000</v>
      </c>
      <c r="R34" t="str">
        <v>none</v>
      </c>
      <c r="S34" t="str">
        <v>Verified</v>
      </c>
      <c r="T34" t="str">
        <v>010xx</v>
      </c>
      <c r="U34" t="str">
        <v>MA</v>
      </c>
      <c r="V34">
        <v>6864</v>
      </c>
      <c r="W34">
        <v>34322</v>
      </c>
    </row>
    <row r="35" spans="1:23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13</v>
      </c>
      <c r="G35" s="4" t="s">
        <v>15</v>
      </c>
      <c r="H35" s="11" t="s">
        <v>34</v>
      </c>
      <c r="I35" s="11" t="s">
        <v>35</v>
      </c>
      <c r="J35" s="2">
        <v>41888</v>
      </c>
      <c r="K35" s="2">
        <v>335106</v>
      </c>
      <c r="M35" t="s">
        <v>18</v>
      </c>
      <c r="N35" t="str" cm="1">
        <f t="array" ref="N35:W35">_xlfn.XLOOKUP(M35,A3:A395,B3:K395,"not found",-1)</f>
        <v>None</v>
      </c>
      <c r="O35" t="str">
        <v>none</v>
      </c>
      <c r="P35" t="str">
        <v>Mortgage</v>
      </c>
      <c r="Q35">
        <v>185000</v>
      </c>
      <c r="R35" t="str">
        <v>none</v>
      </c>
      <c r="S35" t="str">
        <v>Not Verified</v>
      </c>
      <c r="T35" t="str">
        <v>010xx</v>
      </c>
      <c r="U35" t="str">
        <v>MA</v>
      </c>
      <c r="V35">
        <v>7930</v>
      </c>
      <c r="W35">
        <v>150674</v>
      </c>
    </row>
    <row r="36" spans="1:23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13</v>
      </c>
      <c r="G36" s="4" t="s">
        <v>22</v>
      </c>
      <c r="H36" s="11" t="s">
        <v>90</v>
      </c>
      <c r="I36" s="11" t="s">
        <v>35</v>
      </c>
      <c r="J36" s="2">
        <v>1741</v>
      </c>
      <c r="K36" s="2">
        <v>15673</v>
      </c>
      <c r="M36" t="s">
        <v>21</v>
      </c>
      <c r="N36" t="str" cm="1">
        <f t="array" ref="N36:W36">_xlfn.XLOOKUP(M36,A4:A396,B4:K396,"not found",-1)</f>
        <v>None</v>
      </c>
      <c r="O36" t="str">
        <v>none</v>
      </c>
      <c r="P36" t="str">
        <v>Mortgage</v>
      </c>
      <c r="Q36">
        <v>120000</v>
      </c>
      <c r="R36" t="str">
        <v>none</v>
      </c>
      <c r="S36" t="str">
        <v>Source Verified</v>
      </c>
      <c r="T36" t="str">
        <v>015xx</v>
      </c>
      <c r="U36" t="str">
        <v>MA</v>
      </c>
      <c r="V36">
        <v>15652</v>
      </c>
      <c r="W36">
        <v>281735</v>
      </c>
    </row>
    <row r="37" spans="1:23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13</v>
      </c>
      <c r="G37" s="4" t="s">
        <v>22</v>
      </c>
      <c r="H37" s="11" t="s">
        <v>90</v>
      </c>
      <c r="I37" s="11" t="s">
        <v>35</v>
      </c>
      <c r="J37" s="2">
        <v>2975</v>
      </c>
      <c r="K37" s="2">
        <v>20828</v>
      </c>
      <c r="N37" cm="1">
        <f t="array" ref="N37:W37">_xlfn.XLOOKUP(M37,A5:A397,B5:K397,"not found",-1)</f>
        <v>0</v>
      </c>
      <c r="O37">
        <v>0</v>
      </c>
      <c r="P37">
        <v>0</v>
      </c>
      <c r="Q37">
        <v>38335069.949000001</v>
      </c>
      <c r="R37">
        <v>0</v>
      </c>
      <c r="S37">
        <v>0</v>
      </c>
      <c r="T37">
        <v>0</v>
      </c>
      <c r="U37">
        <v>0</v>
      </c>
      <c r="V37">
        <v>3202883</v>
      </c>
      <c r="W37">
        <v>32568773</v>
      </c>
    </row>
    <row r="38" spans="1:23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13</v>
      </c>
      <c r="G38" s="4" t="s">
        <v>22</v>
      </c>
      <c r="H38" s="11" t="s">
        <v>90</v>
      </c>
      <c r="I38" s="11" t="s">
        <v>35</v>
      </c>
      <c r="J38" s="2">
        <v>3337</v>
      </c>
      <c r="K38" s="2">
        <v>20021</v>
      </c>
      <c r="N38" cm="1">
        <f t="array" ref="N38:W38">_xlfn.XLOOKUP(M38,A6:A398,B6:K398,"not found",-1)</f>
        <v>0</v>
      </c>
      <c r="O38">
        <v>0</v>
      </c>
      <c r="P38">
        <v>0</v>
      </c>
      <c r="Q38">
        <v>38335069.949000001</v>
      </c>
      <c r="R38">
        <v>0</v>
      </c>
      <c r="S38">
        <v>0</v>
      </c>
      <c r="T38">
        <v>0</v>
      </c>
      <c r="U38">
        <v>0</v>
      </c>
      <c r="V38">
        <v>3202883</v>
      </c>
      <c r="W38">
        <v>32568773</v>
      </c>
    </row>
    <row r="39" spans="1:23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 t="s">
        <v>720</v>
      </c>
      <c r="G39" s="4" t="s">
        <v>15</v>
      </c>
      <c r="H39" s="11" t="s">
        <v>28</v>
      </c>
      <c r="I39" s="11" t="s">
        <v>29</v>
      </c>
      <c r="J39" s="2">
        <v>11996</v>
      </c>
      <c r="K39" s="2">
        <v>71976</v>
      </c>
    </row>
    <row r="40" spans="1:23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13</v>
      </c>
      <c r="G40" s="4" t="s">
        <v>20</v>
      </c>
      <c r="H40" s="11" t="s">
        <v>90</v>
      </c>
      <c r="I40" s="11" t="s">
        <v>35</v>
      </c>
      <c r="J40" s="2">
        <v>1763</v>
      </c>
      <c r="K40" s="2">
        <v>14107</v>
      </c>
      <c r="N40" t="str" cm="1">
        <f t="array" ref="N40">_xlfn.XLOOKUP(M40,A2:A33,B2:K33,"")</f>
        <v/>
      </c>
    </row>
    <row r="41" spans="1:23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13</v>
      </c>
      <c r="G41" s="4" t="s">
        <v>20</v>
      </c>
      <c r="H41" s="11" t="s">
        <v>90</v>
      </c>
      <c r="I41" s="11" t="s">
        <v>35</v>
      </c>
      <c r="J41" s="2">
        <v>41983</v>
      </c>
      <c r="K41" s="2">
        <v>251895</v>
      </c>
      <c r="R41" s="13"/>
    </row>
    <row r="42" spans="1:23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13</v>
      </c>
      <c r="G42" s="4" t="s">
        <v>22</v>
      </c>
      <c r="H42" s="11" t="s">
        <v>90</v>
      </c>
      <c r="I42" s="11" t="s">
        <v>35</v>
      </c>
      <c r="J42" s="2">
        <v>2009</v>
      </c>
      <c r="K42" s="2">
        <v>18082</v>
      </c>
    </row>
    <row r="43" spans="1:23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13</v>
      </c>
      <c r="G43" s="4" t="s">
        <v>20</v>
      </c>
      <c r="H43" s="11" t="s">
        <v>90</v>
      </c>
      <c r="I43" s="11" t="s">
        <v>35</v>
      </c>
      <c r="J43" s="2">
        <v>1767</v>
      </c>
      <c r="K43" s="2">
        <v>21200</v>
      </c>
    </row>
    <row r="44" spans="1:23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13</v>
      </c>
      <c r="G44" s="4" t="s">
        <v>22</v>
      </c>
      <c r="H44" s="11" t="s">
        <v>106</v>
      </c>
      <c r="I44" s="11" t="s">
        <v>35</v>
      </c>
      <c r="J44" s="2">
        <v>4226</v>
      </c>
      <c r="K44" s="2">
        <v>80289</v>
      </c>
    </row>
    <row r="45" spans="1:23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13</v>
      </c>
      <c r="G45" s="4" t="s">
        <v>20</v>
      </c>
      <c r="H45" s="11" t="s">
        <v>106</v>
      </c>
      <c r="I45" s="11" t="s">
        <v>109</v>
      </c>
      <c r="J45" s="2">
        <v>28764</v>
      </c>
      <c r="K45" s="2">
        <v>230115</v>
      </c>
    </row>
    <row r="46" spans="1:23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13</v>
      </c>
      <c r="G46" s="4" t="s">
        <v>15</v>
      </c>
      <c r="H46" s="11" t="s">
        <v>106</v>
      </c>
      <c r="I46" s="11" t="s">
        <v>35</v>
      </c>
      <c r="J46" s="2">
        <v>2227</v>
      </c>
      <c r="K46" s="2">
        <v>31172</v>
      </c>
    </row>
    <row r="47" spans="1:23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13</v>
      </c>
      <c r="G47" s="4" t="s">
        <v>22</v>
      </c>
      <c r="H47" s="11" t="s">
        <v>106</v>
      </c>
      <c r="I47" s="11" t="s">
        <v>35</v>
      </c>
      <c r="J47" s="2">
        <v>25517</v>
      </c>
      <c r="K47" s="2">
        <v>229656</v>
      </c>
    </row>
    <row r="48" spans="1:23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13</v>
      </c>
      <c r="G48" s="4" t="s">
        <v>20</v>
      </c>
      <c r="H48" s="11" t="s">
        <v>106</v>
      </c>
      <c r="I48" s="11" t="s">
        <v>35</v>
      </c>
      <c r="J48" s="2">
        <v>24846</v>
      </c>
      <c r="K48" s="2">
        <v>173923</v>
      </c>
    </row>
    <row r="49" spans="1:11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13</v>
      </c>
      <c r="G49" s="4" t="s">
        <v>22</v>
      </c>
      <c r="H49" s="11" t="s">
        <v>106</v>
      </c>
      <c r="I49" s="11" t="s">
        <v>35</v>
      </c>
      <c r="J49" s="2">
        <v>1737</v>
      </c>
      <c r="K49" s="2">
        <v>39950</v>
      </c>
    </row>
    <row r="50" spans="1:11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13</v>
      </c>
      <c r="G50" s="4" t="s">
        <v>20</v>
      </c>
      <c r="H50" s="11" t="s">
        <v>28</v>
      </c>
      <c r="I50" s="11" t="s">
        <v>29</v>
      </c>
      <c r="J50" s="2">
        <v>9379</v>
      </c>
      <c r="K50" s="2">
        <v>103172</v>
      </c>
    </row>
    <row r="51" spans="1:11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721</v>
      </c>
      <c r="G51" s="4" t="s">
        <v>20</v>
      </c>
      <c r="H51" s="11" t="s">
        <v>106</v>
      </c>
      <c r="I51" s="11" t="s">
        <v>35</v>
      </c>
      <c r="J51" s="2">
        <v>48282</v>
      </c>
      <c r="K51" s="2">
        <v>386252</v>
      </c>
    </row>
    <row r="52" spans="1:11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13</v>
      </c>
      <c r="G52" s="4" t="s">
        <v>15</v>
      </c>
      <c r="H52" s="11" t="s">
        <v>106</v>
      </c>
      <c r="I52" s="11" t="s">
        <v>35</v>
      </c>
      <c r="J52" s="2">
        <v>8503</v>
      </c>
      <c r="K52" s="2">
        <v>323115</v>
      </c>
    </row>
    <row r="53" spans="1:11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13</v>
      </c>
      <c r="G53" s="4" t="s">
        <v>22</v>
      </c>
      <c r="H53" s="11" t="s">
        <v>106</v>
      </c>
      <c r="I53" s="11" t="s">
        <v>35</v>
      </c>
      <c r="J53" s="2">
        <v>3334</v>
      </c>
      <c r="K53" s="2">
        <v>30006</v>
      </c>
    </row>
    <row r="54" spans="1:11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13</v>
      </c>
      <c r="G54" s="4" t="s">
        <v>22</v>
      </c>
      <c r="H54" s="11" t="s">
        <v>106</v>
      </c>
      <c r="I54" s="11" t="s">
        <v>35</v>
      </c>
      <c r="J54" s="2">
        <v>3538</v>
      </c>
      <c r="K54" s="2">
        <v>49537</v>
      </c>
    </row>
    <row r="55" spans="1:11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13</v>
      </c>
      <c r="G55" s="4" t="s">
        <v>22</v>
      </c>
      <c r="H55" s="11" t="s">
        <v>106</v>
      </c>
      <c r="I55" s="11" t="s">
        <v>35</v>
      </c>
      <c r="J55" s="2">
        <v>6776</v>
      </c>
      <c r="K55" s="2">
        <v>203282</v>
      </c>
    </row>
    <row r="56" spans="1:11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13</v>
      </c>
      <c r="G56" s="4" t="s">
        <v>22</v>
      </c>
      <c r="H56" s="11" t="s">
        <v>106</v>
      </c>
      <c r="I56" s="11" t="s">
        <v>35</v>
      </c>
      <c r="J56" s="2">
        <v>2192</v>
      </c>
      <c r="K56" s="2">
        <v>19731</v>
      </c>
    </row>
    <row r="57" spans="1:11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13</v>
      </c>
      <c r="G57" s="4" t="s">
        <v>22</v>
      </c>
      <c r="H57" s="11" t="s">
        <v>106</v>
      </c>
      <c r="I57" s="11" t="s">
        <v>35</v>
      </c>
      <c r="J57" s="2">
        <v>3660</v>
      </c>
      <c r="K57" s="2">
        <v>29277</v>
      </c>
    </row>
    <row r="58" spans="1:11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13</v>
      </c>
      <c r="G58" s="4" t="s">
        <v>20</v>
      </c>
      <c r="H58" s="11" t="s">
        <v>106</v>
      </c>
      <c r="I58" s="11" t="s">
        <v>35</v>
      </c>
      <c r="J58" s="2">
        <v>1381</v>
      </c>
      <c r="K58" s="2">
        <v>19340</v>
      </c>
    </row>
    <row r="59" spans="1:11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13</v>
      </c>
      <c r="G59" s="4" t="s">
        <v>20</v>
      </c>
      <c r="H59" s="11" t="s">
        <v>106</v>
      </c>
      <c r="I59" s="11" t="s">
        <v>35</v>
      </c>
      <c r="J59" s="2">
        <v>20384</v>
      </c>
      <c r="K59" s="2">
        <v>448449</v>
      </c>
    </row>
    <row r="60" spans="1:11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13</v>
      </c>
      <c r="G60" s="4" t="s">
        <v>20</v>
      </c>
      <c r="H60" s="11" t="s">
        <v>106</v>
      </c>
      <c r="I60" s="11" t="s">
        <v>35</v>
      </c>
      <c r="J60" s="2">
        <v>35562</v>
      </c>
      <c r="K60" s="2">
        <v>355619</v>
      </c>
    </row>
    <row r="61" spans="1:11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13</v>
      </c>
      <c r="G61" s="4" t="s">
        <v>15</v>
      </c>
      <c r="H61" s="11" t="s">
        <v>28</v>
      </c>
      <c r="I61" s="11" t="s">
        <v>29</v>
      </c>
      <c r="J61" s="2">
        <v>21029</v>
      </c>
      <c r="K61" s="2">
        <v>105146</v>
      </c>
    </row>
    <row r="62" spans="1:11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13</v>
      </c>
      <c r="G62" s="4" t="s">
        <v>22</v>
      </c>
      <c r="H62" s="11" t="s">
        <v>106</v>
      </c>
      <c r="I62" s="11" t="s">
        <v>35</v>
      </c>
      <c r="J62" s="2">
        <v>19868</v>
      </c>
      <c r="K62" s="2">
        <v>298017</v>
      </c>
    </row>
    <row r="63" spans="1:11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13</v>
      </c>
      <c r="G63" s="4" t="s">
        <v>15</v>
      </c>
      <c r="H63" s="11" t="s">
        <v>106</v>
      </c>
      <c r="I63" s="11" t="s">
        <v>35</v>
      </c>
      <c r="J63" s="2">
        <v>11132</v>
      </c>
      <c r="K63" s="2">
        <v>144718</v>
      </c>
    </row>
    <row r="64" spans="1:11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13</v>
      </c>
      <c r="G64" s="4" t="s">
        <v>20</v>
      </c>
      <c r="H64" s="11" t="s">
        <v>106</v>
      </c>
      <c r="I64" s="11" t="s">
        <v>35</v>
      </c>
      <c r="J64" s="2">
        <v>54834</v>
      </c>
      <c r="K64" s="2">
        <v>383838</v>
      </c>
    </row>
    <row r="65" spans="1:11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13</v>
      </c>
      <c r="G65" s="4" t="s">
        <v>22</v>
      </c>
      <c r="H65" s="11" t="s">
        <v>106</v>
      </c>
      <c r="I65" s="11" t="s">
        <v>35</v>
      </c>
      <c r="J65" s="2">
        <v>4347</v>
      </c>
      <c r="K65" s="2">
        <v>39119</v>
      </c>
    </row>
    <row r="66" spans="1:11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13</v>
      </c>
      <c r="G66" s="4" t="s">
        <v>20</v>
      </c>
      <c r="H66" s="11" t="s">
        <v>106</v>
      </c>
      <c r="I66" s="11" t="s">
        <v>35</v>
      </c>
      <c r="J66" s="2">
        <v>1118</v>
      </c>
      <c r="K66" s="2">
        <v>12299</v>
      </c>
    </row>
    <row r="67" spans="1:11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13</v>
      </c>
      <c r="G67" s="4" t="s">
        <v>20</v>
      </c>
      <c r="H67" s="11" t="s">
        <v>106</v>
      </c>
      <c r="I67" s="11" t="s">
        <v>35</v>
      </c>
      <c r="J67" s="2">
        <v>2707</v>
      </c>
      <c r="K67" s="2">
        <v>21652</v>
      </c>
    </row>
    <row r="68" spans="1:11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13</v>
      </c>
      <c r="G68" s="4" t="s">
        <v>22</v>
      </c>
      <c r="H68" s="11" t="s">
        <v>106</v>
      </c>
      <c r="I68" s="11" t="s">
        <v>35</v>
      </c>
      <c r="J68" s="2">
        <v>63234</v>
      </c>
      <c r="K68" s="2">
        <v>379401</v>
      </c>
    </row>
    <row r="69" spans="1:11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13</v>
      </c>
      <c r="G69" s="4" t="s">
        <v>20</v>
      </c>
      <c r="H69" s="11" t="s">
        <v>106</v>
      </c>
      <c r="I69" s="11" t="s">
        <v>35</v>
      </c>
      <c r="J69" s="2">
        <v>5467</v>
      </c>
      <c r="K69" s="2">
        <v>27336</v>
      </c>
    </row>
    <row r="70" spans="1:11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13</v>
      </c>
      <c r="G70" s="4" t="s">
        <v>22</v>
      </c>
      <c r="H70" s="11" t="s">
        <v>106</v>
      </c>
      <c r="I70" s="11" t="s">
        <v>35</v>
      </c>
      <c r="J70" s="2">
        <v>1405</v>
      </c>
      <c r="K70" s="2">
        <v>14054</v>
      </c>
    </row>
    <row r="71" spans="1:11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13</v>
      </c>
      <c r="G71" s="4" t="s">
        <v>20</v>
      </c>
      <c r="H71" s="11" t="s">
        <v>106</v>
      </c>
      <c r="I71" s="11" t="s">
        <v>35</v>
      </c>
      <c r="J71" s="2">
        <v>851</v>
      </c>
      <c r="K71" s="2">
        <v>10215</v>
      </c>
    </row>
    <row r="72" spans="1:11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13</v>
      </c>
      <c r="G72" s="4" t="s">
        <v>20</v>
      </c>
      <c r="H72" s="11" t="s">
        <v>28</v>
      </c>
      <c r="I72" s="11" t="s">
        <v>29</v>
      </c>
      <c r="J72" s="2">
        <v>1282</v>
      </c>
      <c r="K72" s="2">
        <v>16663</v>
      </c>
    </row>
    <row r="73" spans="1:11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13</v>
      </c>
      <c r="G73" s="4" t="s">
        <v>15</v>
      </c>
      <c r="H73" s="11" t="s">
        <v>106</v>
      </c>
      <c r="I73" s="11" t="s">
        <v>35</v>
      </c>
      <c r="J73" s="2">
        <v>3326</v>
      </c>
      <c r="K73" s="2">
        <v>23284</v>
      </c>
    </row>
    <row r="74" spans="1:11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13</v>
      </c>
      <c r="G74" s="4" t="s">
        <v>22</v>
      </c>
      <c r="H74" s="11" t="s">
        <v>106</v>
      </c>
      <c r="I74" s="11" t="s">
        <v>35</v>
      </c>
      <c r="J74" s="2">
        <v>1990</v>
      </c>
      <c r="K74" s="2">
        <v>15922</v>
      </c>
    </row>
    <row r="75" spans="1:11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13</v>
      </c>
      <c r="G75" s="4" t="s">
        <v>20</v>
      </c>
      <c r="H75" s="11" t="s">
        <v>106</v>
      </c>
      <c r="I75" s="11" t="s">
        <v>35</v>
      </c>
      <c r="J75" s="2">
        <v>22226</v>
      </c>
      <c r="K75" s="2">
        <v>355614</v>
      </c>
    </row>
    <row r="76" spans="1:11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13</v>
      </c>
      <c r="G76" s="4" t="s">
        <v>22</v>
      </c>
      <c r="H76" s="11" t="s">
        <v>106</v>
      </c>
      <c r="I76" s="11" t="s">
        <v>35</v>
      </c>
      <c r="J76" s="2">
        <v>54950</v>
      </c>
      <c r="K76" s="2">
        <v>549498</v>
      </c>
    </row>
    <row r="77" spans="1:11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13</v>
      </c>
      <c r="G77" s="4" t="s">
        <v>15</v>
      </c>
      <c r="H77" s="11" t="s">
        <v>106</v>
      </c>
      <c r="I77" s="11" t="s">
        <v>35</v>
      </c>
      <c r="J77" s="2">
        <v>17154</v>
      </c>
      <c r="K77" s="2">
        <v>308766</v>
      </c>
    </row>
    <row r="78" spans="1:11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13</v>
      </c>
      <c r="G78" s="4" t="s">
        <v>22</v>
      </c>
      <c r="H78" s="11" t="s">
        <v>106</v>
      </c>
      <c r="I78" s="11" t="s">
        <v>35</v>
      </c>
      <c r="J78" s="2">
        <v>1863</v>
      </c>
      <c r="K78" s="2">
        <v>18632</v>
      </c>
    </row>
    <row r="79" spans="1:11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722</v>
      </c>
      <c r="G79" s="4" t="s">
        <v>15</v>
      </c>
      <c r="H79" s="11" t="s">
        <v>106</v>
      </c>
      <c r="I79" s="11" t="s">
        <v>35</v>
      </c>
      <c r="J79" s="2">
        <v>1635</v>
      </c>
      <c r="K79" s="2">
        <v>6538</v>
      </c>
    </row>
    <row r="80" spans="1:11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13</v>
      </c>
      <c r="G80" s="4" t="s">
        <v>22</v>
      </c>
      <c r="H80" s="11" t="s">
        <v>106</v>
      </c>
      <c r="I80" s="11" t="s">
        <v>35</v>
      </c>
      <c r="J80" s="2">
        <v>10809</v>
      </c>
      <c r="K80" s="2">
        <v>172937</v>
      </c>
    </row>
    <row r="81" spans="1:11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13</v>
      </c>
      <c r="G81" s="4" t="s">
        <v>20</v>
      </c>
      <c r="H81" s="11" t="s">
        <v>106</v>
      </c>
      <c r="I81" s="11" t="s">
        <v>35</v>
      </c>
      <c r="J81" s="2">
        <v>3914</v>
      </c>
      <c r="K81" s="2">
        <v>74374</v>
      </c>
    </row>
    <row r="82" spans="1:11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13</v>
      </c>
      <c r="G82" s="4" t="s">
        <v>20</v>
      </c>
      <c r="H82" s="11" t="s">
        <v>106</v>
      </c>
      <c r="I82" s="11" t="s">
        <v>35</v>
      </c>
      <c r="J82" s="2">
        <v>2153</v>
      </c>
      <c r="K82" s="2">
        <v>36593</v>
      </c>
    </row>
    <row r="83" spans="1:11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723</v>
      </c>
      <c r="G83" s="4" t="s">
        <v>20</v>
      </c>
      <c r="H83" s="11" t="s">
        <v>28</v>
      </c>
      <c r="I83" s="11" t="s">
        <v>29</v>
      </c>
      <c r="J83" s="2">
        <v>1539</v>
      </c>
      <c r="K83" s="2">
        <v>16924</v>
      </c>
    </row>
    <row r="84" spans="1:11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13</v>
      </c>
      <c r="G84" s="4" t="s">
        <v>20</v>
      </c>
      <c r="H84" s="11" t="s">
        <v>106</v>
      </c>
      <c r="I84" s="11" t="s">
        <v>35</v>
      </c>
      <c r="J84" s="2">
        <v>9425</v>
      </c>
      <c r="K84" s="2">
        <v>94249</v>
      </c>
    </row>
    <row r="85" spans="1:11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13</v>
      </c>
      <c r="G85" s="4" t="s">
        <v>20</v>
      </c>
      <c r="H85" s="11" t="s">
        <v>106</v>
      </c>
      <c r="I85" s="11" t="s">
        <v>35</v>
      </c>
      <c r="J85" s="2">
        <v>16746</v>
      </c>
      <c r="K85" s="2">
        <v>150717</v>
      </c>
    </row>
    <row r="86" spans="1:11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13</v>
      </c>
      <c r="G86" s="4" t="s">
        <v>22</v>
      </c>
      <c r="H86" s="11" t="s">
        <v>106</v>
      </c>
      <c r="I86" s="11" t="s">
        <v>35</v>
      </c>
      <c r="J86" s="2">
        <v>26161</v>
      </c>
      <c r="K86" s="2">
        <v>366256</v>
      </c>
    </row>
    <row r="87" spans="1:11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13</v>
      </c>
      <c r="G87" s="4" t="s">
        <v>15</v>
      </c>
      <c r="H87" s="11" t="s">
        <v>185</v>
      </c>
      <c r="I87" s="11" t="s">
        <v>35</v>
      </c>
      <c r="J87" s="2">
        <v>2888</v>
      </c>
      <c r="K87" s="2">
        <v>17325</v>
      </c>
    </row>
    <row r="88" spans="1:11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13</v>
      </c>
      <c r="G88" s="4" t="s">
        <v>22</v>
      </c>
      <c r="H88" s="11" t="s">
        <v>185</v>
      </c>
      <c r="I88" s="11" t="s">
        <v>35</v>
      </c>
      <c r="J88" s="2">
        <v>2889</v>
      </c>
      <c r="K88" s="2">
        <v>14445</v>
      </c>
    </row>
    <row r="89" spans="1:11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724</v>
      </c>
      <c r="G89" s="4" t="s">
        <v>20</v>
      </c>
      <c r="H89" s="11" t="s">
        <v>185</v>
      </c>
      <c r="I89" s="11" t="s">
        <v>35</v>
      </c>
      <c r="J89" s="2">
        <v>1284</v>
      </c>
      <c r="K89" s="2">
        <v>5134</v>
      </c>
    </row>
    <row r="90" spans="1:11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13</v>
      </c>
      <c r="G90" s="4" t="s">
        <v>22</v>
      </c>
      <c r="H90" s="11" t="s">
        <v>185</v>
      </c>
      <c r="I90" s="11" t="s">
        <v>35</v>
      </c>
      <c r="J90" s="2">
        <v>39411</v>
      </c>
      <c r="K90" s="2">
        <v>354700</v>
      </c>
    </row>
    <row r="91" spans="1:11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13</v>
      </c>
      <c r="G91" s="4" t="s">
        <v>20</v>
      </c>
      <c r="H91" s="11" t="s">
        <v>185</v>
      </c>
      <c r="I91" s="11" t="s">
        <v>35</v>
      </c>
      <c r="J91" s="2">
        <v>1267</v>
      </c>
      <c r="K91" s="2">
        <v>17744</v>
      </c>
    </row>
    <row r="92" spans="1:11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13</v>
      </c>
      <c r="G92" s="4" t="s">
        <v>22</v>
      </c>
      <c r="H92" s="11" t="s">
        <v>185</v>
      </c>
      <c r="I92" s="11" t="s">
        <v>35</v>
      </c>
      <c r="J92" s="2">
        <v>69929</v>
      </c>
      <c r="K92" s="2">
        <v>559430</v>
      </c>
    </row>
    <row r="93" spans="1:11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13</v>
      </c>
      <c r="G93" s="4" t="s">
        <v>22</v>
      </c>
      <c r="H93" s="11" t="s">
        <v>185</v>
      </c>
      <c r="I93" s="11" t="s">
        <v>35</v>
      </c>
      <c r="J93" s="2">
        <v>2981</v>
      </c>
      <c r="K93" s="2">
        <v>32792</v>
      </c>
    </row>
    <row r="94" spans="1:11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13</v>
      </c>
      <c r="G94" s="4" t="s">
        <v>22</v>
      </c>
      <c r="H94" s="11" t="s">
        <v>28</v>
      </c>
      <c r="I94" s="11" t="s">
        <v>29</v>
      </c>
      <c r="J94" s="2">
        <v>859</v>
      </c>
      <c r="K94" s="2">
        <v>7733</v>
      </c>
    </row>
    <row r="95" spans="1:11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13</v>
      </c>
      <c r="G95" s="4" t="s">
        <v>22</v>
      </c>
      <c r="H95" s="11" t="s">
        <v>185</v>
      </c>
      <c r="I95" s="11" t="s">
        <v>35</v>
      </c>
      <c r="J95" s="2">
        <v>2167</v>
      </c>
      <c r="K95" s="2">
        <v>28167</v>
      </c>
    </row>
    <row r="96" spans="1:11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13</v>
      </c>
      <c r="G96" s="4" t="s">
        <v>15</v>
      </c>
      <c r="H96" s="11" t="s">
        <v>185</v>
      </c>
      <c r="I96" s="11" t="s">
        <v>35</v>
      </c>
      <c r="J96" s="2">
        <v>5134</v>
      </c>
      <c r="K96" s="2">
        <v>30802</v>
      </c>
    </row>
    <row r="97" spans="1:11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13</v>
      </c>
      <c r="G97" s="4" t="s">
        <v>22</v>
      </c>
      <c r="H97" s="11" t="s">
        <v>185</v>
      </c>
      <c r="I97" s="11" t="s">
        <v>35</v>
      </c>
      <c r="J97" s="2">
        <v>5048</v>
      </c>
      <c r="K97" s="2">
        <v>25241</v>
      </c>
    </row>
    <row r="98" spans="1:11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13</v>
      </c>
      <c r="G98" s="4" t="s">
        <v>22</v>
      </c>
      <c r="H98" s="11" t="s">
        <v>185</v>
      </c>
      <c r="I98" s="11" t="s">
        <v>35</v>
      </c>
      <c r="J98" s="2">
        <v>49073</v>
      </c>
      <c r="K98" s="2">
        <v>343514</v>
      </c>
    </row>
    <row r="99" spans="1:11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13</v>
      </c>
      <c r="G99" s="4" t="s">
        <v>20</v>
      </c>
      <c r="H99" s="11" t="s">
        <v>185</v>
      </c>
      <c r="I99" s="11" t="s">
        <v>35</v>
      </c>
      <c r="J99" s="2">
        <v>6774</v>
      </c>
      <c r="K99" s="2">
        <v>101603</v>
      </c>
    </row>
    <row r="100" spans="1:11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725</v>
      </c>
      <c r="G100" s="4" t="s">
        <v>22</v>
      </c>
      <c r="H100" s="11" t="s">
        <v>185</v>
      </c>
      <c r="I100" s="11" t="s">
        <v>35</v>
      </c>
      <c r="J100" s="2">
        <v>6432</v>
      </c>
      <c r="K100" s="2">
        <v>45026</v>
      </c>
    </row>
    <row r="101" spans="1:11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13</v>
      </c>
      <c r="G101" s="4" t="s">
        <v>22</v>
      </c>
      <c r="H101" s="11" t="s">
        <v>185</v>
      </c>
      <c r="I101" s="11" t="s">
        <v>35</v>
      </c>
      <c r="J101" s="2">
        <v>42203</v>
      </c>
      <c r="K101" s="2">
        <v>675242</v>
      </c>
    </row>
    <row r="102" spans="1:11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13</v>
      </c>
      <c r="G102" s="4" t="s">
        <v>22</v>
      </c>
      <c r="H102" s="11" t="s">
        <v>213</v>
      </c>
      <c r="I102" s="11" t="s">
        <v>35</v>
      </c>
      <c r="J102" s="2">
        <v>26793</v>
      </c>
      <c r="K102" s="2">
        <v>214342</v>
      </c>
    </row>
    <row r="103" spans="1:11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13</v>
      </c>
      <c r="G103" s="4" t="s">
        <v>22</v>
      </c>
      <c r="H103" s="11" t="s">
        <v>213</v>
      </c>
      <c r="I103" s="11" t="s">
        <v>35</v>
      </c>
      <c r="J103" s="2">
        <v>6347</v>
      </c>
      <c r="K103" s="2">
        <v>38081</v>
      </c>
    </row>
    <row r="104" spans="1:11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13</v>
      </c>
      <c r="G104" s="4" t="s">
        <v>15</v>
      </c>
      <c r="H104" s="11" t="s">
        <v>213</v>
      </c>
      <c r="I104" s="11" t="s">
        <v>35</v>
      </c>
      <c r="J104" s="2">
        <v>1641</v>
      </c>
      <c r="K104" s="2">
        <v>26249</v>
      </c>
    </row>
    <row r="105" spans="1:11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726</v>
      </c>
      <c r="G105" s="4" t="s">
        <v>15</v>
      </c>
      <c r="H105" s="11" t="s">
        <v>28</v>
      </c>
      <c r="I105" s="11" t="s">
        <v>29</v>
      </c>
      <c r="J105" s="2">
        <v>23528</v>
      </c>
      <c r="K105" s="2">
        <v>235278</v>
      </c>
    </row>
    <row r="106" spans="1:11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13</v>
      </c>
      <c r="G106" s="4" t="s">
        <v>22</v>
      </c>
      <c r="H106" s="11" t="s">
        <v>213</v>
      </c>
      <c r="I106" s="11" t="s">
        <v>35</v>
      </c>
      <c r="J106" s="2">
        <v>8055</v>
      </c>
      <c r="K106" s="2">
        <v>48329</v>
      </c>
    </row>
    <row r="107" spans="1:11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13</v>
      </c>
      <c r="G107" s="4" t="s">
        <v>22</v>
      </c>
      <c r="H107" s="11" t="s">
        <v>213</v>
      </c>
      <c r="I107" s="11" t="s">
        <v>35</v>
      </c>
      <c r="J107" s="2">
        <v>4814</v>
      </c>
      <c r="K107" s="2">
        <v>43330</v>
      </c>
    </row>
    <row r="108" spans="1:11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13</v>
      </c>
      <c r="G108" s="4" t="s">
        <v>22</v>
      </c>
      <c r="H108" s="11" t="s">
        <v>213</v>
      </c>
      <c r="I108" s="11" t="s">
        <v>35</v>
      </c>
      <c r="J108" s="2">
        <v>1986</v>
      </c>
      <c r="K108" s="2">
        <v>19860</v>
      </c>
    </row>
    <row r="109" spans="1:11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13</v>
      </c>
      <c r="G109" s="4" t="s">
        <v>22</v>
      </c>
      <c r="H109" s="11" t="s">
        <v>213</v>
      </c>
      <c r="I109" s="11" t="s">
        <v>35</v>
      </c>
      <c r="J109" s="2">
        <v>3979</v>
      </c>
      <c r="K109" s="2">
        <v>23872</v>
      </c>
    </row>
    <row r="110" spans="1:11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13</v>
      </c>
      <c r="G110" s="4" t="s">
        <v>22</v>
      </c>
      <c r="H110" s="11" t="s">
        <v>213</v>
      </c>
      <c r="I110" s="11" t="s">
        <v>35</v>
      </c>
      <c r="J110" s="2">
        <v>2071</v>
      </c>
      <c r="K110" s="2">
        <v>16566</v>
      </c>
    </row>
    <row r="111" spans="1:11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13</v>
      </c>
      <c r="G111" s="4" t="s">
        <v>22</v>
      </c>
      <c r="H111" s="11" t="s">
        <v>213</v>
      </c>
      <c r="I111" s="11" t="s">
        <v>35</v>
      </c>
      <c r="J111" s="2">
        <v>3334</v>
      </c>
      <c r="K111" s="2">
        <v>23340</v>
      </c>
    </row>
    <row r="112" spans="1:11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13</v>
      </c>
      <c r="G112" s="4" t="s">
        <v>22</v>
      </c>
      <c r="H112" s="11" t="s">
        <v>213</v>
      </c>
      <c r="I112" s="11" t="s">
        <v>35</v>
      </c>
      <c r="J112" s="2">
        <v>3948</v>
      </c>
      <c r="K112" s="2">
        <v>43428</v>
      </c>
    </row>
    <row r="113" spans="1:11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13</v>
      </c>
      <c r="G113" s="4" t="s">
        <v>22</v>
      </c>
      <c r="H113" s="11" t="s">
        <v>213</v>
      </c>
      <c r="I113" s="11" t="s">
        <v>35</v>
      </c>
      <c r="J113" s="2">
        <v>785</v>
      </c>
      <c r="K113" s="2">
        <v>8634</v>
      </c>
    </row>
    <row r="114" spans="1:11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13</v>
      </c>
      <c r="G114" s="4" t="s">
        <v>22</v>
      </c>
      <c r="H114" s="11" t="s">
        <v>213</v>
      </c>
      <c r="I114" s="11" t="s">
        <v>35</v>
      </c>
      <c r="J114" s="2">
        <v>25022</v>
      </c>
      <c r="K114" s="2">
        <v>225198</v>
      </c>
    </row>
    <row r="115" spans="1:11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13</v>
      </c>
      <c r="G115" s="4" t="s">
        <v>20</v>
      </c>
      <c r="H115" s="11" t="s">
        <v>213</v>
      </c>
      <c r="I115" s="11" t="s">
        <v>35</v>
      </c>
      <c r="J115" s="2">
        <v>2061</v>
      </c>
      <c r="K115" s="2">
        <v>14429</v>
      </c>
    </row>
    <row r="116" spans="1:11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727</v>
      </c>
      <c r="G116" s="4" t="s">
        <v>22</v>
      </c>
      <c r="H116" s="11" t="s">
        <v>25</v>
      </c>
      <c r="I116" s="11" t="s">
        <v>26</v>
      </c>
      <c r="J116" s="2">
        <v>24809</v>
      </c>
      <c r="K116" s="2">
        <v>248087</v>
      </c>
    </row>
    <row r="117" spans="1:11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13</v>
      </c>
      <c r="G117" s="4" t="s">
        <v>20</v>
      </c>
      <c r="H117" s="11" t="s">
        <v>28</v>
      </c>
      <c r="I117" s="11" t="s">
        <v>29</v>
      </c>
      <c r="J117" s="2">
        <v>4892</v>
      </c>
      <c r="K117" s="2">
        <v>48923</v>
      </c>
    </row>
    <row r="118" spans="1:11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13</v>
      </c>
      <c r="G118" s="4" t="s">
        <v>22</v>
      </c>
      <c r="H118" s="11" t="s">
        <v>213</v>
      </c>
      <c r="I118" s="11" t="s">
        <v>35</v>
      </c>
      <c r="J118" s="2">
        <v>1469</v>
      </c>
      <c r="K118" s="2">
        <v>14692</v>
      </c>
    </row>
    <row r="119" spans="1:11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13</v>
      </c>
      <c r="G119" s="4" t="s">
        <v>15</v>
      </c>
      <c r="H119" s="11" t="s">
        <v>213</v>
      </c>
      <c r="I119" s="11" t="s">
        <v>35</v>
      </c>
      <c r="J119" s="2">
        <v>10592</v>
      </c>
      <c r="K119" s="2">
        <v>42366</v>
      </c>
    </row>
    <row r="120" spans="1:11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13</v>
      </c>
      <c r="G120" s="4" t="s">
        <v>22</v>
      </c>
      <c r="H120" s="11" t="s">
        <v>213</v>
      </c>
      <c r="I120" s="11" t="s">
        <v>35</v>
      </c>
      <c r="J120" s="2">
        <v>3777</v>
      </c>
      <c r="K120" s="2">
        <v>30213</v>
      </c>
    </row>
    <row r="121" spans="1:11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13</v>
      </c>
      <c r="G121" s="4" t="s">
        <v>20</v>
      </c>
      <c r="H121" s="11" t="s">
        <v>213</v>
      </c>
      <c r="I121" s="11" t="s">
        <v>35</v>
      </c>
      <c r="J121" s="2">
        <v>1946</v>
      </c>
      <c r="K121" s="2">
        <v>21410</v>
      </c>
    </row>
    <row r="122" spans="1:11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13</v>
      </c>
      <c r="G122" s="4" t="s">
        <v>22</v>
      </c>
      <c r="H122" s="11" t="s">
        <v>213</v>
      </c>
      <c r="I122" s="11" t="s">
        <v>35</v>
      </c>
      <c r="J122" s="2">
        <v>489</v>
      </c>
      <c r="K122" s="2">
        <v>3914</v>
      </c>
    </row>
    <row r="123" spans="1:11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13</v>
      </c>
      <c r="G123" s="4" t="s">
        <v>15</v>
      </c>
      <c r="H123" s="11" t="s">
        <v>213</v>
      </c>
      <c r="I123" s="11" t="s">
        <v>35</v>
      </c>
      <c r="J123" s="2">
        <v>17689</v>
      </c>
      <c r="K123" s="2">
        <v>176887</v>
      </c>
    </row>
    <row r="124" spans="1:11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13</v>
      </c>
      <c r="G124" s="4" t="s">
        <v>22</v>
      </c>
      <c r="H124" s="11" t="s">
        <v>213</v>
      </c>
      <c r="I124" s="11" t="s">
        <v>35</v>
      </c>
      <c r="J124" s="2">
        <v>2558</v>
      </c>
      <c r="K124" s="2">
        <v>69061</v>
      </c>
    </row>
    <row r="125" spans="1:11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13</v>
      </c>
      <c r="G125" s="4" t="s">
        <v>22</v>
      </c>
      <c r="H125" s="11" t="s">
        <v>213</v>
      </c>
      <c r="I125" s="11" t="s">
        <v>35</v>
      </c>
      <c r="J125" s="2">
        <v>906</v>
      </c>
      <c r="K125" s="2">
        <v>11780</v>
      </c>
    </row>
    <row r="126" spans="1:11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13</v>
      </c>
      <c r="G126" s="4" t="s">
        <v>22</v>
      </c>
      <c r="H126" s="11" t="s">
        <v>213</v>
      </c>
      <c r="I126" s="11" t="s">
        <v>35</v>
      </c>
      <c r="J126" s="2">
        <v>6493</v>
      </c>
      <c r="K126" s="2">
        <v>64932</v>
      </c>
    </row>
    <row r="127" spans="1:11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13</v>
      </c>
      <c r="G127" s="4" t="s">
        <v>15</v>
      </c>
      <c r="H127" s="11" t="s">
        <v>213</v>
      </c>
      <c r="I127" s="11" t="s">
        <v>35</v>
      </c>
      <c r="J127" s="2">
        <v>6532</v>
      </c>
      <c r="K127" s="2">
        <v>52255</v>
      </c>
    </row>
    <row r="128" spans="1:11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13</v>
      </c>
      <c r="G128" s="4" t="s">
        <v>15</v>
      </c>
      <c r="H128" s="11" t="s">
        <v>28</v>
      </c>
      <c r="I128" s="11" t="s">
        <v>29</v>
      </c>
      <c r="J128" s="2">
        <v>12090</v>
      </c>
      <c r="K128" s="2">
        <v>169257</v>
      </c>
    </row>
    <row r="129" spans="1:11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13</v>
      </c>
      <c r="G129" s="4" t="s">
        <v>20</v>
      </c>
      <c r="H129" s="11" t="s">
        <v>213</v>
      </c>
      <c r="I129" s="11" t="s">
        <v>35</v>
      </c>
      <c r="J129" s="2">
        <v>2215</v>
      </c>
      <c r="K129" s="2">
        <v>13288</v>
      </c>
    </row>
    <row r="130" spans="1:11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13</v>
      </c>
      <c r="G130" s="4" t="s">
        <v>22</v>
      </c>
      <c r="H130" s="11" t="s">
        <v>213</v>
      </c>
      <c r="I130" s="11" t="s">
        <v>35</v>
      </c>
      <c r="J130" s="2">
        <v>2450</v>
      </c>
      <c r="K130" s="2">
        <v>17147</v>
      </c>
    </row>
    <row r="131" spans="1:11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13</v>
      </c>
      <c r="G131" s="4" t="s">
        <v>22</v>
      </c>
      <c r="H131" s="11" t="s">
        <v>213</v>
      </c>
      <c r="I131" s="11" t="s">
        <v>35</v>
      </c>
      <c r="J131" s="2">
        <v>4090</v>
      </c>
      <c r="K131" s="2">
        <v>16361</v>
      </c>
    </row>
    <row r="132" spans="1:11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13</v>
      </c>
      <c r="G132" s="4" t="s">
        <v>20</v>
      </c>
      <c r="H132" s="11" t="s">
        <v>213</v>
      </c>
      <c r="I132" s="11" t="s">
        <v>35</v>
      </c>
      <c r="J132" s="2">
        <v>626</v>
      </c>
      <c r="K132" s="2">
        <v>3757</v>
      </c>
    </row>
    <row r="133" spans="1:11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13</v>
      </c>
      <c r="G133" s="4" t="s">
        <v>20</v>
      </c>
      <c r="H133" s="11" t="s">
        <v>213</v>
      </c>
      <c r="I133" s="11" t="s">
        <v>35</v>
      </c>
      <c r="J133" s="2">
        <v>820</v>
      </c>
      <c r="K133" s="2">
        <v>8202</v>
      </c>
    </row>
    <row r="134" spans="1:11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728</v>
      </c>
      <c r="G134" s="4" t="s">
        <v>20</v>
      </c>
      <c r="H134" s="11" t="s">
        <v>213</v>
      </c>
      <c r="I134" s="11" t="s">
        <v>35</v>
      </c>
      <c r="J134" s="2">
        <v>4295</v>
      </c>
      <c r="K134" s="2">
        <v>21474</v>
      </c>
    </row>
    <row r="135" spans="1:11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13</v>
      </c>
      <c r="G135" s="4" t="s">
        <v>20</v>
      </c>
      <c r="H135" s="11" t="s">
        <v>213</v>
      </c>
      <c r="I135" s="11" t="s">
        <v>35</v>
      </c>
      <c r="J135" s="2">
        <v>3196</v>
      </c>
      <c r="K135" s="2">
        <v>54330</v>
      </c>
    </row>
    <row r="136" spans="1:11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13</v>
      </c>
      <c r="G136" s="4" t="s">
        <v>20</v>
      </c>
      <c r="H136" s="11" t="s">
        <v>213</v>
      </c>
      <c r="I136" s="11" t="s">
        <v>35</v>
      </c>
      <c r="J136" s="2">
        <v>3982</v>
      </c>
      <c r="K136" s="2">
        <v>35838</v>
      </c>
    </row>
    <row r="137" spans="1:11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13</v>
      </c>
      <c r="G137" s="4" t="s">
        <v>20</v>
      </c>
      <c r="H137" s="11" t="s">
        <v>213</v>
      </c>
      <c r="I137" s="11" t="s">
        <v>35</v>
      </c>
      <c r="J137" s="2">
        <v>667</v>
      </c>
      <c r="K137" s="2">
        <v>6667</v>
      </c>
    </row>
    <row r="138" spans="1:11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13</v>
      </c>
      <c r="G138" s="4" t="s">
        <v>22</v>
      </c>
      <c r="H138" s="11" t="s">
        <v>213</v>
      </c>
      <c r="I138" s="11" t="s">
        <v>35</v>
      </c>
      <c r="J138" s="2">
        <v>609</v>
      </c>
      <c r="K138" s="2">
        <v>4261</v>
      </c>
    </row>
    <row r="139" spans="1:11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13</v>
      </c>
      <c r="G139" s="4" t="s">
        <v>15</v>
      </c>
      <c r="H139" s="11" t="s">
        <v>28</v>
      </c>
      <c r="I139" s="11" t="s">
        <v>29</v>
      </c>
      <c r="J139" s="2">
        <v>3094</v>
      </c>
      <c r="K139" s="2">
        <v>37130</v>
      </c>
    </row>
    <row r="140" spans="1:11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13</v>
      </c>
      <c r="G140" s="4" t="s">
        <v>15</v>
      </c>
      <c r="H140" s="11" t="s">
        <v>213</v>
      </c>
      <c r="I140" s="11" t="s">
        <v>35</v>
      </c>
      <c r="J140" s="2">
        <v>1111</v>
      </c>
      <c r="K140" s="2">
        <v>10003</v>
      </c>
    </row>
    <row r="141" spans="1:11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13</v>
      </c>
      <c r="G141" s="4" t="s">
        <v>20</v>
      </c>
      <c r="H141" s="11" t="s">
        <v>213</v>
      </c>
      <c r="I141" s="11" t="s">
        <v>35</v>
      </c>
      <c r="J141" s="2">
        <v>2162</v>
      </c>
      <c r="K141" s="2">
        <v>23784</v>
      </c>
    </row>
    <row r="142" spans="1:11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13</v>
      </c>
      <c r="G142" s="4" t="s">
        <v>15</v>
      </c>
      <c r="H142" s="11" t="s">
        <v>213</v>
      </c>
      <c r="I142" s="11" t="s">
        <v>35</v>
      </c>
      <c r="J142" s="2">
        <v>1983</v>
      </c>
      <c r="K142" s="2">
        <v>13881</v>
      </c>
    </row>
    <row r="143" spans="1:11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13</v>
      </c>
      <c r="G143" s="4" t="s">
        <v>15</v>
      </c>
      <c r="H143" s="11" t="s">
        <v>213</v>
      </c>
      <c r="I143" s="11" t="s">
        <v>35</v>
      </c>
      <c r="J143" s="2">
        <v>318</v>
      </c>
      <c r="K143" s="2">
        <v>1273</v>
      </c>
    </row>
    <row r="144" spans="1:11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13</v>
      </c>
      <c r="G144" s="4" t="s">
        <v>22</v>
      </c>
      <c r="H144" s="11" t="s">
        <v>289</v>
      </c>
      <c r="I144" s="11" t="s">
        <v>35</v>
      </c>
      <c r="J144" s="2">
        <v>2235</v>
      </c>
      <c r="K144" s="2">
        <v>13408</v>
      </c>
    </row>
    <row r="145" spans="1:11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13</v>
      </c>
      <c r="G145" s="4" t="s">
        <v>22</v>
      </c>
      <c r="H145" s="11" t="s">
        <v>289</v>
      </c>
      <c r="I145" s="11" t="s">
        <v>35</v>
      </c>
      <c r="J145" s="2">
        <v>2456</v>
      </c>
      <c r="K145" s="2">
        <v>17189</v>
      </c>
    </row>
    <row r="146" spans="1:11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13</v>
      </c>
      <c r="G146" s="4" t="s">
        <v>22</v>
      </c>
      <c r="H146" s="11" t="s">
        <v>289</v>
      </c>
      <c r="I146" s="11" t="s">
        <v>35</v>
      </c>
      <c r="J146" s="2">
        <v>2827</v>
      </c>
      <c r="K146" s="2">
        <v>25439</v>
      </c>
    </row>
    <row r="147" spans="1:11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13</v>
      </c>
      <c r="G147" s="4" t="s">
        <v>20</v>
      </c>
      <c r="H147" s="11" t="s">
        <v>289</v>
      </c>
      <c r="I147" s="11" t="s">
        <v>35</v>
      </c>
      <c r="J147" s="2">
        <v>374</v>
      </c>
      <c r="K147" s="2">
        <v>9339</v>
      </c>
    </row>
    <row r="148" spans="1:11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13</v>
      </c>
      <c r="G148" s="4" t="s">
        <v>20</v>
      </c>
      <c r="H148" s="11" t="s">
        <v>289</v>
      </c>
      <c r="I148" s="11" t="s">
        <v>35</v>
      </c>
      <c r="J148" s="2">
        <v>3340</v>
      </c>
      <c r="K148" s="2">
        <v>6680</v>
      </c>
    </row>
    <row r="149" spans="1:11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13</v>
      </c>
      <c r="G149" s="4" t="s">
        <v>22</v>
      </c>
      <c r="H149" s="11" t="s">
        <v>289</v>
      </c>
      <c r="I149" s="11" t="s">
        <v>35</v>
      </c>
      <c r="J149" s="2">
        <v>1214</v>
      </c>
      <c r="K149" s="2">
        <v>3643</v>
      </c>
    </row>
    <row r="150" spans="1:11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13</v>
      </c>
      <c r="G150" s="4" t="s">
        <v>15</v>
      </c>
      <c r="H150" s="11" t="s">
        <v>28</v>
      </c>
      <c r="I150" s="11" t="s">
        <v>29</v>
      </c>
      <c r="J150" s="2">
        <v>2320</v>
      </c>
      <c r="K150" s="2">
        <v>20881</v>
      </c>
    </row>
    <row r="151" spans="1:11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13</v>
      </c>
      <c r="G151" s="4" t="s">
        <v>20</v>
      </c>
      <c r="H151" s="11" t="s">
        <v>289</v>
      </c>
      <c r="I151" s="11" t="s">
        <v>35</v>
      </c>
      <c r="J151" s="2">
        <v>3807</v>
      </c>
      <c r="K151" s="2">
        <v>34259</v>
      </c>
    </row>
    <row r="152" spans="1:11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13</v>
      </c>
      <c r="G152" s="4" t="s">
        <v>20</v>
      </c>
      <c r="H152" s="11" t="s">
        <v>289</v>
      </c>
      <c r="I152" s="11" t="s">
        <v>35</v>
      </c>
      <c r="J152" s="2">
        <v>1467</v>
      </c>
      <c r="K152" s="2">
        <v>14666</v>
      </c>
    </row>
    <row r="153" spans="1:11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13</v>
      </c>
      <c r="G153" s="4" t="s">
        <v>22</v>
      </c>
      <c r="H153" s="11" t="s">
        <v>289</v>
      </c>
      <c r="I153" s="11" t="s">
        <v>35</v>
      </c>
      <c r="J153" s="2">
        <v>2589</v>
      </c>
      <c r="K153" s="2">
        <v>33661</v>
      </c>
    </row>
    <row r="154" spans="1:11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13</v>
      </c>
      <c r="G154" s="4" t="s">
        <v>15</v>
      </c>
      <c r="H154" s="11" t="s">
        <v>289</v>
      </c>
      <c r="I154" s="11" t="s">
        <v>35</v>
      </c>
      <c r="J154" s="2">
        <v>5960</v>
      </c>
      <c r="K154" s="2">
        <v>59604</v>
      </c>
    </row>
    <row r="155" spans="1:11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13</v>
      </c>
      <c r="G155" s="4" t="s">
        <v>20</v>
      </c>
      <c r="H155" s="11" t="s">
        <v>289</v>
      </c>
      <c r="I155" s="11" t="s">
        <v>35</v>
      </c>
      <c r="J155" s="2">
        <v>46704</v>
      </c>
      <c r="K155" s="2">
        <v>420337</v>
      </c>
    </row>
    <row r="156" spans="1:11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13</v>
      </c>
      <c r="G156" s="4" t="s">
        <v>15</v>
      </c>
      <c r="H156" s="11" t="s">
        <v>289</v>
      </c>
      <c r="I156" s="11" t="s">
        <v>35</v>
      </c>
      <c r="J156" s="2">
        <v>9088</v>
      </c>
      <c r="K156" s="2">
        <v>199941</v>
      </c>
    </row>
    <row r="157" spans="1:11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13</v>
      </c>
      <c r="G157" s="4" t="s">
        <v>20</v>
      </c>
      <c r="H157" s="11" t="s">
        <v>289</v>
      </c>
      <c r="I157" s="11" t="s">
        <v>35</v>
      </c>
      <c r="J157" s="2">
        <v>2365</v>
      </c>
      <c r="K157" s="2">
        <v>23650</v>
      </c>
    </row>
    <row r="158" spans="1:11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13</v>
      </c>
      <c r="G158" s="4" t="s">
        <v>22</v>
      </c>
      <c r="H158" s="11" t="s">
        <v>289</v>
      </c>
      <c r="I158" s="11" t="s">
        <v>35</v>
      </c>
      <c r="J158" s="2">
        <v>4287</v>
      </c>
      <c r="K158" s="2">
        <v>30011</v>
      </c>
    </row>
    <row r="159" spans="1:11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13</v>
      </c>
      <c r="G159" s="4" t="s">
        <v>15</v>
      </c>
      <c r="H159" s="11" t="s">
        <v>289</v>
      </c>
      <c r="I159" s="11" t="s">
        <v>35</v>
      </c>
      <c r="J159" s="2">
        <v>3663</v>
      </c>
      <c r="K159" s="2">
        <v>43959</v>
      </c>
    </row>
    <row r="160" spans="1:11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13</v>
      </c>
      <c r="G160" s="4" t="s">
        <v>20</v>
      </c>
      <c r="H160" s="11" t="s">
        <v>289</v>
      </c>
      <c r="I160" s="11" t="s">
        <v>35</v>
      </c>
      <c r="J160" s="2">
        <v>1546</v>
      </c>
      <c r="K160" s="2">
        <v>9273</v>
      </c>
    </row>
    <row r="161" spans="1:11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13</v>
      </c>
      <c r="G161" s="4" t="s">
        <v>15</v>
      </c>
      <c r="H161" s="11" t="s">
        <v>28</v>
      </c>
      <c r="I161" s="11" t="s">
        <v>29</v>
      </c>
      <c r="J161" s="2">
        <v>5954</v>
      </c>
      <c r="K161" s="2">
        <v>29770</v>
      </c>
    </row>
    <row r="162" spans="1:11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13</v>
      </c>
      <c r="G162" s="4" t="s">
        <v>15</v>
      </c>
      <c r="H162" s="11" t="s">
        <v>289</v>
      </c>
      <c r="I162" s="11" t="s">
        <v>35</v>
      </c>
      <c r="J162" s="2">
        <v>3403</v>
      </c>
      <c r="K162" s="2">
        <v>10210</v>
      </c>
    </row>
    <row r="163" spans="1:11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13</v>
      </c>
      <c r="G163" s="4" t="s">
        <v>15</v>
      </c>
      <c r="H163" s="11" t="s">
        <v>289</v>
      </c>
      <c r="I163" s="11" t="s">
        <v>35</v>
      </c>
      <c r="J163" s="2">
        <v>4367</v>
      </c>
      <c r="K163" s="2">
        <v>56776</v>
      </c>
    </row>
    <row r="164" spans="1:11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13</v>
      </c>
      <c r="G164" s="4" t="s">
        <v>15</v>
      </c>
      <c r="H164" s="11" t="s">
        <v>289</v>
      </c>
      <c r="I164" s="11" t="s">
        <v>35</v>
      </c>
      <c r="J164" s="2">
        <v>1731</v>
      </c>
      <c r="K164" s="2">
        <v>12120</v>
      </c>
    </row>
    <row r="165" spans="1:11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13</v>
      </c>
      <c r="G165" s="4" t="s">
        <v>15</v>
      </c>
      <c r="H165" s="11" t="s">
        <v>289</v>
      </c>
      <c r="I165" s="11" t="s">
        <v>35</v>
      </c>
      <c r="J165" s="2">
        <v>3262</v>
      </c>
      <c r="K165" s="2">
        <v>16312</v>
      </c>
    </row>
    <row r="166" spans="1:11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13</v>
      </c>
      <c r="G166" s="4" t="s">
        <v>15</v>
      </c>
      <c r="H166" s="11" t="s">
        <v>289</v>
      </c>
      <c r="I166" s="11" t="s">
        <v>35</v>
      </c>
      <c r="J166" s="2">
        <v>2486</v>
      </c>
      <c r="K166" s="2">
        <v>17403</v>
      </c>
    </row>
    <row r="167" spans="1:11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13</v>
      </c>
      <c r="G167" s="4" t="s">
        <v>22</v>
      </c>
      <c r="H167" s="11" t="s">
        <v>289</v>
      </c>
      <c r="I167" s="11" t="s">
        <v>35</v>
      </c>
      <c r="J167" s="2">
        <v>1264</v>
      </c>
      <c r="K167" s="2">
        <v>22759</v>
      </c>
    </row>
    <row r="168" spans="1:11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13</v>
      </c>
      <c r="G168" s="4" t="s">
        <v>15</v>
      </c>
      <c r="H168" s="11" t="s">
        <v>289</v>
      </c>
      <c r="I168" s="11" t="s">
        <v>35</v>
      </c>
      <c r="J168" s="2">
        <v>2747</v>
      </c>
      <c r="K168" s="2">
        <v>24721</v>
      </c>
    </row>
    <row r="169" spans="1:11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13</v>
      </c>
      <c r="G169" s="4" t="s">
        <v>20</v>
      </c>
      <c r="H169" s="11" t="s">
        <v>289</v>
      </c>
      <c r="I169" s="11" t="s">
        <v>35</v>
      </c>
      <c r="J169" s="2">
        <v>2291</v>
      </c>
      <c r="K169" s="2">
        <v>11455</v>
      </c>
    </row>
    <row r="170" spans="1:11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13</v>
      </c>
      <c r="G170" s="4" t="s">
        <v>22</v>
      </c>
      <c r="H170" s="11" t="s">
        <v>289</v>
      </c>
      <c r="I170" s="11" t="s">
        <v>35</v>
      </c>
      <c r="J170" s="2">
        <v>2214</v>
      </c>
      <c r="K170" s="2">
        <v>28784</v>
      </c>
    </row>
    <row r="171" spans="1:11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13</v>
      </c>
      <c r="G171" s="4" t="s">
        <v>22</v>
      </c>
      <c r="H171" s="11" t="s">
        <v>289</v>
      </c>
      <c r="I171" s="11" t="s">
        <v>35</v>
      </c>
      <c r="J171" s="2">
        <v>1656</v>
      </c>
      <c r="K171" s="2">
        <v>8280</v>
      </c>
    </row>
    <row r="172" spans="1:11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13</v>
      </c>
      <c r="G172" s="4" t="s">
        <v>20</v>
      </c>
      <c r="H172" s="11" t="s">
        <v>28</v>
      </c>
      <c r="I172" s="11" t="s">
        <v>29</v>
      </c>
      <c r="J172" s="2">
        <v>1757</v>
      </c>
      <c r="K172" s="2">
        <v>12298</v>
      </c>
    </row>
    <row r="173" spans="1:11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13</v>
      </c>
      <c r="G173" s="4" t="s">
        <v>20</v>
      </c>
      <c r="H173" s="11" t="s">
        <v>289</v>
      </c>
      <c r="I173" s="11" t="s">
        <v>35</v>
      </c>
      <c r="J173" s="2">
        <v>2571</v>
      </c>
      <c r="K173" s="2">
        <v>10283</v>
      </c>
    </row>
    <row r="174" spans="1:11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13</v>
      </c>
      <c r="G174" s="4" t="s">
        <v>22</v>
      </c>
      <c r="H174" s="11" t="s">
        <v>289</v>
      </c>
      <c r="I174" s="11" t="s">
        <v>35</v>
      </c>
      <c r="J174" s="2">
        <v>3602</v>
      </c>
      <c r="K174" s="2">
        <v>14406</v>
      </c>
    </row>
    <row r="175" spans="1:11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13</v>
      </c>
      <c r="G175" s="4" t="s">
        <v>15</v>
      </c>
      <c r="H175" s="11" t="s">
        <v>289</v>
      </c>
      <c r="I175" s="11" t="s">
        <v>35</v>
      </c>
      <c r="J175" s="2">
        <v>5998</v>
      </c>
      <c r="K175" s="2">
        <v>125955</v>
      </c>
    </row>
    <row r="176" spans="1:11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13</v>
      </c>
      <c r="G176" s="4" t="s">
        <v>20</v>
      </c>
      <c r="H176" s="11" t="s">
        <v>289</v>
      </c>
      <c r="I176" s="11" t="s">
        <v>35</v>
      </c>
      <c r="J176" s="2">
        <v>2484</v>
      </c>
      <c r="K176" s="2">
        <v>17385</v>
      </c>
    </row>
    <row r="177" spans="1:11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13</v>
      </c>
      <c r="G177" s="4" t="s">
        <v>20</v>
      </c>
      <c r="H177" s="11" t="s">
        <v>289</v>
      </c>
      <c r="I177" s="11" t="s">
        <v>35</v>
      </c>
      <c r="J177" s="2">
        <v>2392</v>
      </c>
      <c r="K177" s="2">
        <v>11961</v>
      </c>
    </row>
    <row r="178" spans="1:11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13</v>
      </c>
      <c r="G178" s="4" t="s">
        <v>22</v>
      </c>
      <c r="H178" s="11" t="s">
        <v>289</v>
      </c>
      <c r="I178" s="11" t="s">
        <v>35</v>
      </c>
      <c r="J178" s="2">
        <v>4460</v>
      </c>
      <c r="K178" s="2">
        <v>66897</v>
      </c>
    </row>
    <row r="179" spans="1:11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13</v>
      </c>
      <c r="G179" s="4" t="s">
        <v>22</v>
      </c>
      <c r="H179" s="11" t="s">
        <v>289</v>
      </c>
      <c r="I179" s="11" t="s">
        <v>35</v>
      </c>
      <c r="J179" s="2">
        <v>7857</v>
      </c>
      <c r="K179" s="2">
        <v>149289</v>
      </c>
    </row>
    <row r="180" spans="1:11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13</v>
      </c>
      <c r="G180" s="4" t="s">
        <v>20</v>
      </c>
      <c r="H180" s="11" t="s">
        <v>289</v>
      </c>
      <c r="I180" s="11" t="s">
        <v>35</v>
      </c>
      <c r="J180" s="2">
        <v>22065</v>
      </c>
      <c r="K180" s="2">
        <v>154452</v>
      </c>
    </row>
    <row r="181" spans="1:11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13</v>
      </c>
      <c r="G181" s="4" t="s">
        <v>15</v>
      </c>
      <c r="H181" s="11" t="s">
        <v>289</v>
      </c>
      <c r="I181" s="11" t="s">
        <v>35</v>
      </c>
      <c r="J181" s="2">
        <v>3274</v>
      </c>
      <c r="K181" s="2">
        <v>22918</v>
      </c>
    </row>
    <row r="182" spans="1:11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13</v>
      </c>
      <c r="G182" s="4" t="s">
        <v>22</v>
      </c>
      <c r="H182" s="11" t="s">
        <v>289</v>
      </c>
      <c r="I182" s="11" t="s">
        <v>35</v>
      </c>
      <c r="J182" s="2">
        <v>5694</v>
      </c>
      <c r="K182" s="2">
        <v>56938</v>
      </c>
    </row>
    <row r="183" spans="1:11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13</v>
      </c>
      <c r="G183" s="4" t="s">
        <v>20</v>
      </c>
      <c r="H183" s="11" t="s">
        <v>28</v>
      </c>
      <c r="I183" s="11" t="s">
        <v>29</v>
      </c>
      <c r="J183" s="2">
        <v>11112</v>
      </c>
      <c r="K183" s="2">
        <v>44446</v>
      </c>
    </row>
    <row r="184" spans="1:11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13</v>
      </c>
      <c r="G184" s="4" t="s">
        <v>22</v>
      </c>
      <c r="H184" s="11" t="s">
        <v>289</v>
      </c>
      <c r="I184" s="11" t="s">
        <v>35</v>
      </c>
      <c r="J184" s="2">
        <v>1847</v>
      </c>
      <c r="K184" s="2">
        <v>18472</v>
      </c>
    </row>
    <row r="185" spans="1:11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13</v>
      </c>
      <c r="G185" s="4" t="s">
        <v>22</v>
      </c>
      <c r="H185" s="11" t="s">
        <v>289</v>
      </c>
      <c r="I185" s="11" t="s">
        <v>35</v>
      </c>
      <c r="J185" s="2">
        <v>1248</v>
      </c>
      <c r="K185" s="2">
        <v>17469</v>
      </c>
    </row>
    <row r="186" spans="1:11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13</v>
      </c>
      <c r="G186" s="4" t="s">
        <v>22</v>
      </c>
      <c r="H186" s="11" t="s">
        <v>289</v>
      </c>
      <c r="I186" s="11" t="s">
        <v>35</v>
      </c>
      <c r="J186" s="2">
        <v>16959</v>
      </c>
      <c r="K186" s="2">
        <v>101756</v>
      </c>
    </row>
    <row r="187" spans="1:11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13</v>
      </c>
      <c r="G187" s="4" t="s">
        <v>22</v>
      </c>
      <c r="H187" s="11" t="s">
        <v>289</v>
      </c>
      <c r="I187" s="11" t="s">
        <v>35</v>
      </c>
      <c r="J187" s="2">
        <v>1682</v>
      </c>
      <c r="K187" s="2">
        <v>40373</v>
      </c>
    </row>
    <row r="188" spans="1:11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13</v>
      </c>
      <c r="G188" s="4" t="s">
        <v>22</v>
      </c>
      <c r="H188" s="11" t="s">
        <v>289</v>
      </c>
      <c r="I188" s="11" t="s">
        <v>35</v>
      </c>
      <c r="J188" s="2">
        <v>842</v>
      </c>
      <c r="K188" s="2">
        <v>16834</v>
      </c>
    </row>
    <row r="189" spans="1:11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13</v>
      </c>
      <c r="G189" s="4" t="s">
        <v>22</v>
      </c>
      <c r="H189" s="11" t="s">
        <v>289</v>
      </c>
      <c r="I189" s="11" t="s">
        <v>35</v>
      </c>
      <c r="J189" s="2">
        <v>63974</v>
      </c>
      <c r="K189" s="2">
        <v>447820</v>
      </c>
    </row>
    <row r="190" spans="1:11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13</v>
      </c>
      <c r="G190" s="4" t="s">
        <v>22</v>
      </c>
      <c r="H190" s="11" t="s">
        <v>289</v>
      </c>
      <c r="I190" s="11" t="s">
        <v>35</v>
      </c>
      <c r="J190" s="2">
        <v>5819</v>
      </c>
      <c r="K190" s="2">
        <v>75646</v>
      </c>
    </row>
    <row r="191" spans="1:11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13</v>
      </c>
      <c r="G191" s="4" t="s">
        <v>22</v>
      </c>
      <c r="H191" s="11" t="s">
        <v>289</v>
      </c>
      <c r="I191" s="11" t="s">
        <v>35</v>
      </c>
      <c r="J191" s="2">
        <v>3458</v>
      </c>
      <c r="K191" s="2">
        <v>38035</v>
      </c>
    </row>
    <row r="192" spans="1:11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13</v>
      </c>
      <c r="G192" s="4" t="s">
        <v>15</v>
      </c>
      <c r="H192" s="11" t="s">
        <v>289</v>
      </c>
      <c r="I192" s="11" t="s">
        <v>35</v>
      </c>
      <c r="J192" s="2">
        <v>661</v>
      </c>
      <c r="K192" s="2">
        <v>3305</v>
      </c>
    </row>
    <row r="193" spans="1:11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13</v>
      </c>
      <c r="G193" s="4" t="s">
        <v>22</v>
      </c>
      <c r="H193" s="11" t="s">
        <v>289</v>
      </c>
      <c r="I193" s="11" t="s">
        <v>35</v>
      </c>
      <c r="J193" s="2">
        <v>56443</v>
      </c>
      <c r="K193" s="2">
        <v>1015979</v>
      </c>
    </row>
    <row r="194" spans="1:11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13</v>
      </c>
      <c r="G194" s="4" t="s">
        <v>15</v>
      </c>
      <c r="H194" s="11" t="s">
        <v>28</v>
      </c>
      <c r="I194" s="11" t="s">
        <v>29</v>
      </c>
      <c r="J194" s="2">
        <v>22238</v>
      </c>
      <c r="K194" s="2">
        <v>88950</v>
      </c>
    </row>
    <row r="195" spans="1:11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13</v>
      </c>
      <c r="G195" s="4" t="s">
        <v>20</v>
      </c>
      <c r="H195" s="11" t="s">
        <v>289</v>
      </c>
      <c r="I195" s="11" t="s">
        <v>35</v>
      </c>
      <c r="J195" s="2">
        <v>1744</v>
      </c>
      <c r="K195" s="2">
        <v>15697</v>
      </c>
    </row>
    <row r="196" spans="1:11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13</v>
      </c>
      <c r="G196" s="4" t="s">
        <v>20</v>
      </c>
      <c r="H196" s="11" t="s">
        <v>289</v>
      </c>
      <c r="I196" s="11" t="s">
        <v>35</v>
      </c>
      <c r="J196" s="2">
        <v>5322</v>
      </c>
      <c r="K196" s="2">
        <v>42576</v>
      </c>
    </row>
    <row r="197" spans="1:11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13</v>
      </c>
      <c r="G197" s="4" t="s">
        <v>22</v>
      </c>
      <c r="H197" s="11" t="s">
        <v>289</v>
      </c>
      <c r="I197" s="11" t="s">
        <v>35</v>
      </c>
      <c r="J197" s="2">
        <v>93203</v>
      </c>
      <c r="K197" s="2">
        <v>559220</v>
      </c>
    </row>
    <row r="198" spans="1:11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13</v>
      </c>
      <c r="G198" s="4" t="s">
        <v>22</v>
      </c>
      <c r="H198" s="11" t="s">
        <v>289</v>
      </c>
      <c r="I198" s="11" t="s">
        <v>35</v>
      </c>
      <c r="J198" s="2">
        <v>2274</v>
      </c>
      <c r="K198" s="2">
        <v>13643</v>
      </c>
    </row>
    <row r="199" spans="1:11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13</v>
      </c>
      <c r="G199" s="4" t="s">
        <v>20</v>
      </c>
      <c r="H199" s="11" t="s">
        <v>289</v>
      </c>
      <c r="I199" s="11" t="s">
        <v>35</v>
      </c>
      <c r="J199" s="2">
        <v>5331</v>
      </c>
      <c r="K199" s="2">
        <v>31985</v>
      </c>
    </row>
    <row r="200" spans="1:11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13</v>
      </c>
      <c r="G200" s="4" t="s">
        <v>20</v>
      </c>
      <c r="H200" s="11" t="s">
        <v>289</v>
      </c>
      <c r="I200" s="11" t="s">
        <v>35</v>
      </c>
      <c r="J200" s="2">
        <v>6291</v>
      </c>
      <c r="K200" s="2">
        <v>132120</v>
      </c>
    </row>
    <row r="201" spans="1:11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13</v>
      </c>
      <c r="G201" s="4" t="s">
        <v>22</v>
      </c>
      <c r="H201" s="11" t="s">
        <v>289</v>
      </c>
      <c r="I201" s="11" t="s">
        <v>35</v>
      </c>
      <c r="J201" s="2">
        <v>13427</v>
      </c>
      <c r="K201" s="2">
        <v>107419</v>
      </c>
    </row>
    <row r="202" spans="1:11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13</v>
      </c>
      <c r="G202" s="4" t="s">
        <v>20</v>
      </c>
      <c r="H202" s="11" t="s">
        <v>289</v>
      </c>
      <c r="I202" s="11" t="s">
        <v>35</v>
      </c>
      <c r="J202" s="2">
        <v>2363</v>
      </c>
      <c r="K202" s="2">
        <v>54338</v>
      </c>
    </row>
    <row r="203" spans="1:11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13</v>
      </c>
      <c r="G203" s="4" t="s">
        <v>22</v>
      </c>
      <c r="H203" s="11" t="s">
        <v>289</v>
      </c>
      <c r="I203" s="11" t="s">
        <v>35</v>
      </c>
      <c r="J203" s="2">
        <v>2277</v>
      </c>
      <c r="K203" s="2">
        <v>22766</v>
      </c>
    </row>
    <row r="204" spans="1:11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13</v>
      </c>
      <c r="G204" s="4" t="s">
        <v>20</v>
      </c>
      <c r="H204" s="11" t="s">
        <v>289</v>
      </c>
      <c r="I204" s="11" t="s">
        <v>35</v>
      </c>
      <c r="J204" s="2">
        <v>11796</v>
      </c>
      <c r="K204" s="2">
        <v>106168</v>
      </c>
    </row>
    <row r="205" spans="1:11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13</v>
      </c>
      <c r="G205" s="4" t="s">
        <v>20</v>
      </c>
      <c r="H205" s="11" t="s">
        <v>28</v>
      </c>
      <c r="I205" s="11" t="s">
        <v>29</v>
      </c>
      <c r="J205" s="2">
        <v>4960</v>
      </c>
      <c r="K205" s="2">
        <v>84322</v>
      </c>
    </row>
    <row r="206" spans="1:11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13</v>
      </c>
      <c r="G206" s="4" t="s">
        <v>22</v>
      </c>
      <c r="H206" s="11" t="s">
        <v>289</v>
      </c>
      <c r="I206" s="11" t="s">
        <v>35</v>
      </c>
      <c r="J206" s="2">
        <v>14103</v>
      </c>
      <c r="K206" s="2">
        <v>126928</v>
      </c>
    </row>
    <row r="207" spans="1:11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13</v>
      </c>
      <c r="G207" s="4" t="s">
        <v>20</v>
      </c>
      <c r="H207" s="11" t="s">
        <v>289</v>
      </c>
      <c r="I207" s="11" t="s">
        <v>35</v>
      </c>
      <c r="J207" s="2">
        <v>1582</v>
      </c>
      <c r="K207" s="2">
        <v>7911</v>
      </c>
    </row>
    <row r="208" spans="1:11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13</v>
      </c>
      <c r="G208" s="4" t="s">
        <v>20</v>
      </c>
      <c r="H208" s="11" t="s">
        <v>289</v>
      </c>
      <c r="I208" s="11" t="s">
        <v>35</v>
      </c>
      <c r="J208" s="2">
        <v>21560</v>
      </c>
      <c r="K208" s="2">
        <v>237155</v>
      </c>
    </row>
    <row r="209" spans="1:11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13</v>
      </c>
      <c r="G209" s="4" t="s">
        <v>22</v>
      </c>
      <c r="H209" s="11" t="s">
        <v>289</v>
      </c>
      <c r="I209" s="11" t="s">
        <v>35</v>
      </c>
      <c r="J209" s="2">
        <v>1958</v>
      </c>
      <c r="K209" s="2">
        <v>13704</v>
      </c>
    </row>
    <row r="210" spans="1:11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13</v>
      </c>
      <c r="G210" s="4" t="s">
        <v>20</v>
      </c>
      <c r="H210" s="11" t="s">
        <v>289</v>
      </c>
      <c r="I210" s="11" t="s">
        <v>35</v>
      </c>
      <c r="J210" s="2">
        <v>13073</v>
      </c>
      <c r="K210" s="2">
        <v>169950</v>
      </c>
    </row>
    <row r="211" spans="1:11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13</v>
      </c>
      <c r="G211" s="4" t="s">
        <v>22</v>
      </c>
      <c r="H211" s="11" t="s">
        <v>289</v>
      </c>
      <c r="I211" s="11" t="s">
        <v>35</v>
      </c>
      <c r="J211" s="2">
        <v>5982</v>
      </c>
      <c r="K211" s="2">
        <v>41876</v>
      </c>
    </row>
    <row r="212" spans="1:11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13</v>
      </c>
      <c r="G212" s="4" t="s">
        <v>20</v>
      </c>
      <c r="H212" s="11" t="s">
        <v>289</v>
      </c>
      <c r="I212" s="11" t="s">
        <v>35</v>
      </c>
      <c r="J212" s="2">
        <v>6013</v>
      </c>
      <c r="K212" s="2">
        <v>54114</v>
      </c>
    </row>
    <row r="213" spans="1:11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13</v>
      </c>
      <c r="G213" s="4" t="s">
        <v>20</v>
      </c>
      <c r="H213" s="11" t="s">
        <v>289</v>
      </c>
      <c r="I213" s="11" t="s">
        <v>35</v>
      </c>
      <c r="J213" s="2">
        <v>798</v>
      </c>
      <c r="K213" s="2">
        <v>12772</v>
      </c>
    </row>
    <row r="214" spans="1:11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13</v>
      </c>
      <c r="G214" s="4" t="s">
        <v>15</v>
      </c>
      <c r="H214" s="11" t="s">
        <v>289</v>
      </c>
      <c r="I214" s="11" t="s">
        <v>35</v>
      </c>
      <c r="J214" s="2">
        <v>2264</v>
      </c>
      <c r="K214" s="2">
        <v>20374</v>
      </c>
    </row>
    <row r="215" spans="1:11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13</v>
      </c>
      <c r="G215" s="4" t="s">
        <v>22</v>
      </c>
      <c r="H215" s="11" t="s">
        <v>289</v>
      </c>
      <c r="I215" s="11" t="s">
        <v>35</v>
      </c>
      <c r="J215" s="2">
        <v>3163</v>
      </c>
      <c r="K215" s="2">
        <v>44276</v>
      </c>
    </row>
    <row r="216" spans="1:11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13</v>
      </c>
      <c r="G216" s="4" t="s">
        <v>15</v>
      </c>
      <c r="H216" s="11" t="s">
        <v>28</v>
      </c>
      <c r="I216" s="11" t="s">
        <v>29</v>
      </c>
      <c r="J216" s="2">
        <v>13484</v>
      </c>
      <c r="K216" s="2">
        <v>202265</v>
      </c>
    </row>
    <row r="217" spans="1:11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13</v>
      </c>
      <c r="G217" s="4" t="s">
        <v>22</v>
      </c>
      <c r="H217" s="11" t="s">
        <v>289</v>
      </c>
      <c r="I217" s="11" t="s">
        <v>35</v>
      </c>
      <c r="J217" s="2">
        <v>7899</v>
      </c>
      <c r="K217" s="2">
        <v>86888</v>
      </c>
    </row>
    <row r="218" spans="1:11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13</v>
      </c>
      <c r="G218" s="4" t="s">
        <v>15</v>
      </c>
      <c r="H218" s="11" t="s">
        <v>289</v>
      </c>
      <c r="I218" s="11" t="s">
        <v>35</v>
      </c>
      <c r="J218" s="2">
        <v>786</v>
      </c>
      <c r="K218" s="2">
        <v>5499</v>
      </c>
    </row>
    <row r="219" spans="1:11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13</v>
      </c>
      <c r="G219" s="4" t="s">
        <v>15</v>
      </c>
      <c r="H219" s="11" t="s">
        <v>289</v>
      </c>
      <c r="I219" s="11" t="s">
        <v>35</v>
      </c>
      <c r="J219" s="2">
        <v>2274</v>
      </c>
      <c r="K219" s="2">
        <v>52306</v>
      </c>
    </row>
    <row r="220" spans="1:11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13</v>
      </c>
      <c r="G220" s="4" t="s">
        <v>15</v>
      </c>
      <c r="H220" s="11" t="s">
        <v>289</v>
      </c>
      <c r="I220" s="11" t="s">
        <v>35</v>
      </c>
      <c r="J220" s="2">
        <v>2735</v>
      </c>
      <c r="K220" s="2">
        <v>41019</v>
      </c>
    </row>
    <row r="221" spans="1:11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13</v>
      </c>
      <c r="G221" s="4" t="s">
        <v>20</v>
      </c>
      <c r="H221" s="11" t="s">
        <v>289</v>
      </c>
      <c r="I221" s="11" t="s">
        <v>35</v>
      </c>
      <c r="J221" s="2">
        <v>2000</v>
      </c>
      <c r="K221" s="2">
        <v>17997</v>
      </c>
    </row>
    <row r="222" spans="1:11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13</v>
      </c>
      <c r="G222" s="4" t="s">
        <v>20</v>
      </c>
      <c r="H222" s="11" t="s">
        <v>289</v>
      </c>
      <c r="I222" s="11" t="s">
        <v>35</v>
      </c>
      <c r="J222" s="2">
        <v>4623</v>
      </c>
      <c r="K222" s="2">
        <v>73967</v>
      </c>
    </row>
    <row r="223" spans="1:11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729</v>
      </c>
      <c r="G223" s="4" t="s">
        <v>22</v>
      </c>
      <c r="H223" s="11" t="s">
        <v>289</v>
      </c>
      <c r="I223" s="11" t="s">
        <v>35</v>
      </c>
      <c r="J223" s="2">
        <v>513</v>
      </c>
      <c r="K223" s="2">
        <v>1025</v>
      </c>
    </row>
    <row r="224" spans="1:11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13</v>
      </c>
      <c r="G224" s="4" t="s">
        <v>22</v>
      </c>
      <c r="H224" s="11" t="s">
        <v>289</v>
      </c>
      <c r="I224" s="11" t="s">
        <v>35</v>
      </c>
      <c r="J224" s="2">
        <v>3990</v>
      </c>
      <c r="K224" s="2">
        <v>47880</v>
      </c>
    </row>
    <row r="225" spans="1:11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13</v>
      </c>
      <c r="G225" s="4" t="s">
        <v>22</v>
      </c>
      <c r="H225" s="11" t="s">
        <v>289</v>
      </c>
      <c r="I225" s="11" t="s">
        <v>35</v>
      </c>
      <c r="J225" s="2">
        <v>2163</v>
      </c>
      <c r="K225" s="2">
        <v>30278</v>
      </c>
    </row>
    <row r="226" spans="1:11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13</v>
      </c>
      <c r="G226" s="4" t="s">
        <v>20</v>
      </c>
      <c r="H226" s="11" t="s">
        <v>289</v>
      </c>
      <c r="I226" s="11" t="s">
        <v>35</v>
      </c>
      <c r="J226" s="2">
        <v>1715</v>
      </c>
      <c r="K226" s="2">
        <v>10292</v>
      </c>
    </row>
    <row r="227" spans="1:11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13</v>
      </c>
      <c r="G227" s="4" t="s">
        <v>15</v>
      </c>
      <c r="H227" s="11" t="s">
        <v>25</v>
      </c>
      <c r="I227" s="11" t="s">
        <v>26</v>
      </c>
      <c r="J227" s="2">
        <v>3946</v>
      </c>
      <c r="K227" s="2">
        <v>27624</v>
      </c>
    </row>
    <row r="228" spans="1:11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13</v>
      </c>
      <c r="G228" s="4" t="s">
        <v>20</v>
      </c>
      <c r="H228" s="11" t="s">
        <v>432</v>
      </c>
      <c r="I228" s="11" t="s">
        <v>29</v>
      </c>
      <c r="J228" s="2">
        <v>5288</v>
      </c>
      <c r="K228" s="2">
        <v>31727</v>
      </c>
    </row>
    <row r="229" spans="1:11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730</v>
      </c>
      <c r="G229" s="4" t="s">
        <v>20</v>
      </c>
      <c r="H229" s="11" t="s">
        <v>289</v>
      </c>
      <c r="I229" s="11" t="s">
        <v>35</v>
      </c>
      <c r="J229" s="2">
        <v>494</v>
      </c>
      <c r="K229" s="2">
        <v>5925</v>
      </c>
    </row>
    <row r="230" spans="1:11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13</v>
      </c>
      <c r="G230" s="4" t="s">
        <v>22</v>
      </c>
      <c r="H230" s="11" t="s">
        <v>289</v>
      </c>
      <c r="I230" s="11" t="s">
        <v>35</v>
      </c>
      <c r="J230" s="2">
        <v>2482</v>
      </c>
      <c r="K230" s="2">
        <v>27302</v>
      </c>
    </row>
    <row r="231" spans="1:11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13</v>
      </c>
      <c r="G231" s="4" t="s">
        <v>15</v>
      </c>
      <c r="H231" s="11" t="s">
        <v>289</v>
      </c>
      <c r="I231" s="11" t="s">
        <v>35</v>
      </c>
      <c r="J231" s="2">
        <v>2743</v>
      </c>
      <c r="K231" s="2">
        <v>35653</v>
      </c>
    </row>
    <row r="232" spans="1:11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13</v>
      </c>
      <c r="G232" s="4" t="s">
        <v>20</v>
      </c>
      <c r="H232" s="11" t="s">
        <v>289</v>
      </c>
      <c r="I232" s="11" t="s">
        <v>35</v>
      </c>
      <c r="J232" s="2">
        <v>2927</v>
      </c>
      <c r="K232" s="2">
        <v>11709</v>
      </c>
    </row>
    <row r="233" spans="1:11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13</v>
      </c>
      <c r="G233" s="4" t="s">
        <v>15</v>
      </c>
      <c r="H233" s="11" t="s">
        <v>289</v>
      </c>
      <c r="I233" s="11" t="s">
        <v>35</v>
      </c>
      <c r="J233" s="2">
        <v>3194</v>
      </c>
      <c r="K233" s="2">
        <v>35130</v>
      </c>
    </row>
    <row r="234" spans="1:11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13</v>
      </c>
      <c r="G234" s="4" t="s">
        <v>20</v>
      </c>
      <c r="H234" s="11" t="s">
        <v>289</v>
      </c>
      <c r="I234" s="11" t="s">
        <v>35</v>
      </c>
      <c r="J234" s="2">
        <v>2768</v>
      </c>
      <c r="K234" s="2">
        <v>8304</v>
      </c>
    </row>
    <row r="235" spans="1:11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13</v>
      </c>
      <c r="G235" s="4" t="s">
        <v>15</v>
      </c>
      <c r="H235" s="11" t="s">
        <v>289</v>
      </c>
      <c r="I235" s="11" t="s">
        <v>35</v>
      </c>
      <c r="J235" s="2">
        <v>2537</v>
      </c>
      <c r="K235" s="2">
        <v>12683</v>
      </c>
    </row>
    <row r="236" spans="1:11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13</v>
      </c>
      <c r="G236" s="4" t="s">
        <v>22</v>
      </c>
      <c r="H236" s="11" t="s">
        <v>289</v>
      </c>
      <c r="I236" s="11" t="s">
        <v>35</v>
      </c>
      <c r="J236" s="2">
        <v>5860</v>
      </c>
      <c r="K236" s="2">
        <v>41018</v>
      </c>
    </row>
    <row r="237" spans="1:11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731</v>
      </c>
      <c r="G237" s="4" t="s">
        <v>20</v>
      </c>
      <c r="H237" s="11" t="s">
        <v>289</v>
      </c>
      <c r="I237" s="11" t="s">
        <v>35</v>
      </c>
      <c r="J237" s="2">
        <v>1378</v>
      </c>
      <c r="K237" s="2">
        <v>9648</v>
      </c>
    </row>
    <row r="238" spans="1:11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13</v>
      </c>
      <c r="G238" s="4" t="s">
        <v>22</v>
      </c>
      <c r="H238" s="11" t="s">
        <v>289</v>
      </c>
      <c r="I238" s="11" t="s">
        <v>35</v>
      </c>
      <c r="J238" s="2">
        <v>1098</v>
      </c>
      <c r="K238" s="2">
        <v>12077</v>
      </c>
    </row>
    <row r="239" spans="1:11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13</v>
      </c>
      <c r="G239" s="4" t="s">
        <v>15</v>
      </c>
      <c r="H239" s="11" t="s">
        <v>432</v>
      </c>
      <c r="I239" s="11" t="s">
        <v>29</v>
      </c>
      <c r="J239" s="2">
        <v>2717</v>
      </c>
      <c r="K239" s="2">
        <v>40760</v>
      </c>
    </row>
    <row r="240" spans="1:11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13</v>
      </c>
      <c r="G240" s="4" t="s">
        <v>22</v>
      </c>
      <c r="H240" s="11" t="s">
        <v>289</v>
      </c>
      <c r="I240" s="11" t="s">
        <v>35</v>
      </c>
      <c r="J240" s="2">
        <v>2455</v>
      </c>
      <c r="K240" s="2">
        <v>24547</v>
      </c>
    </row>
    <row r="241" spans="1:11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13</v>
      </c>
      <c r="G241" s="4" t="s">
        <v>22</v>
      </c>
      <c r="H241" s="11" t="s">
        <v>289</v>
      </c>
      <c r="I241" s="11" t="s">
        <v>35</v>
      </c>
      <c r="J241" s="2">
        <v>2173</v>
      </c>
      <c r="K241" s="2">
        <v>19553</v>
      </c>
    </row>
    <row r="242" spans="1:11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13</v>
      </c>
      <c r="G242" s="4" t="s">
        <v>20</v>
      </c>
      <c r="H242" s="11" t="s">
        <v>289</v>
      </c>
      <c r="I242" s="11" t="s">
        <v>35</v>
      </c>
      <c r="J242" s="2">
        <v>2472</v>
      </c>
      <c r="K242" s="2">
        <v>14830</v>
      </c>
    </row>
    <row r="243" spans="1:11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13</v>
      </c>
      <c r="G243" s="4" t="s">
        <v>22</v>
      </c>
      <c r="H243" s="11" t="s">
        <v>289</v>
      </c>
      <c r="I243" s="11" t="s">
        <v>35</v>
      </c>
      <c r="J243" s="2">
        <v>9656</v>
      </c>
      <c r="K243" s="2">
        <v>212423</v>
      </c>
    </row>
    <row r="244" spans="1:11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13</v>
      </c>
      <c r="G244" s="4" t="s">
        <v>20</v>
      </c>
      <c r="H244" s="11" t="s">
        <v>289</v>
      </c>
      <c r="I244" s="11" t="s">
        <v>35</v>
      </c>
      <c r="J244" s="2">
        <v>7198</v>
      </c>
      <c r="K244" s="2">
        <v>93570</v>
      </c>
    </row>
    <row r="245" spans="1:11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13</v>
      </c>
      <c r="G245" s="4" t="s">
        <v>15</v>
      </c>
      <c r="H245" s="11" t="s">
        <v>289</v>
      </c>
      <c r="I245" s="11" t="s">
        <v>35</v>
      </c>
      <c r="J245" s="2">
        <v>3938</v>
      </c>
      <c r="K245" s="2">
        <v>23626</v>
      </c>
    </row>
    <row r="246" spans="1:11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13</v>
      </c>
      <c r="G246" s="4" t="s">
        <v>22</v>
      </c>
      <c r="H246" s="11" t="s">
        <v>289</v>
      </c>
      <c r="I246" s="11" t="s">
        <v>35</v>
      </c>
      <c r="J246" s="2">
        <v>3970</v>
      </c>
      <c r="K246" s="2">
        <v>31757</v>
      </c>
    </row>
    <row r="247" spans="1:11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732</v>
      </c>
      <c r="G247" s="4" t="s">
        <v>22</v>
      </c>
      <c r="H247" s="11" t="s">
        <v>289</v>
      </c>
      <c r="I247" s="11" t="s">
        <v>35</v>
      </c>
      <c r="J247" s="2">
        <v>4905</v>
      </c>
      <c r="K247" s="2">
        <v>73570</v>
      </c>
    </row>
    <row r="248" spans="1:11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13</v>
      </c>
      <c r="G248" s="4" t="s">
        <v>15</v>
      </c>
      <c r="H248" s="11" t="s">
        <v>289</v>
      </c>
      <c r="I248" s="11" t="s">
        <v>35</v>
      </c>
      <c r="J248" s="2">
        <v>3515</v>
      </c>
      <c r="K248" s="2">
        <v>45699</v>
      </c>
    </row>
    <row r="249" spans="1:11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13</v>
      </c>
      <c r="G249" s="4" t="s">
        <v>20</v>
      </c>
      <c r="H249" s="11" t="s">
        <v>289</v>
      </c>
      <c r="I249" s="11" t="s">
        <v>35</v>
      </c>
      <c r="J249" s="2">
        <v>915</v>
      </c>
      <c r="K249" s="2">
        <v>4574</v>
      </c>
    </row>
    <row r="250" spans="1:11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733</v>
      </c>
      <c r="G250" s="4" t="s">
        <v>22</v>
      </c>
      <c r="H250" s="11" t="s">
        <v>432</v>
      </c>
      <c r="I250" s="11" t="s">
        <v>29</v>
      </c>
      <c r="J250" s="2">
        <v>2331</v>
      </c>
      <c r="K250" s="2">
        <v>13988</v>
      </c>
    </row>
    <row r="251" spans="1:11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13</v>
      </c>
      <c r="G251" s="4" t="s">
        <v>20</v>
      </c>
      <c r="H251" s="11" t="s">
        <v>289</v>
      </c>
      <c r="I251" s="11" t="s">
        <v>35</v>
      </c>
      <c r="J251" s="2">
        <v>18429</v>
      </c>
      <c r="K251" s="2">
        <v>294858</v>
      </c>
    </row>
    <row r="252" spans="1:11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13</v>
      </c>
      <c r="G252" s="4" t="s">
        <v>20</v>
      </c>
      <c r="H252" s="11" t="s">
        <v>289</v>
      </c>
      <c r="I252" s="11" t="s">
        <v>35</v>
      </c>
      <c r="J252" s="2">
        <v>976</v>
      </c>
      <c r="K252" s="2">
        <v>15617</v>
      </c>
    </row>
    <row r="253" spans="1:11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13</v>
      </c>
      <c r="G253" s="4" t="s">
        <v>20</v>
      </c>
      <c r="H253" s="11" t="s">
        <v>289</v>
      </c>
      <c r="I253" s="11" t="s">
        <v>35</v>
      </c>
      <c r="J253" s="2">
        <v>754</v>
      </c>
      <c r="K253" s="2">
        <v>3770</v>
      </c>
    </row>
    <row r="254" spans="1:11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13</v>
      </c>
      <c r="G254" s="4" t="s">
        <v>20</v>
      </c>
      <c r="H254" s="11" t="s">
        <v>289</v>
      </c>
      <c r="I254" s="11" t="s">
        <v>35</v>
      </c>
      <c r="J254" s="2">
        <v>27919</v>
      </c>
      <c r="K254" s="2">
        <v>614223</v>
      </c>
    </row>
    <row r="255" spans="1:11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13</v>
      </c>
      <c r="G255" s="4" t="s">
        <v>20</v>
      </c>
      <c r="H255" s="11" t="s">
        <v>289</v>
      </c>
      <c r="I255" s="11" t="s">
        <v>35</v>
      </c>
      <c r="J255" s="2">
        <v>2269</v>
      </c>
      <c r="K255" s="2">
        <v>15883</v>
      </c>
    </row>
    <row r="256" spans="1:11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13</v>
      </c>
      <c r="G256" s="4" t="s">
        <v>20</v>
      </c>
      <c r="H256" s="11" t="s">
        <v>289</v>
      </c>
      <c r="I256" s="11" t="s">
        <v>35</v>
      </c>
      <c r="J256" s="2">
        <v>588</v>
      </c>
      <c r="K256" s="2">
        <v>7058</v>
      </c>
    </row>
    <row r="257" spans="1:11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13</v>
      </c>
      <c r="G257" s="4" t="s">
        <v>22</v>
      </c>
      <c r="H257" s="11" t="s">
        <v>289</v>
      </c>
      <c r="I257" s="11" t="s">
        <v>35</v>
      </c>
      <c r="J257" s="2">
        <v>3186</v>
      </c>
      <c r="K257" s="2">
        <v>79658</v>
      </c>
    </row>
    <row r="258" spans="1:11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13</v>
      </c>
      <c r="G258" s="4" t="s">
        <v>15</v>
      </c>
      <c r="H258" s="11" t="s">
        <v>289</v>
      </c>
      <c r="I258" s="11" t="s">
        <v>35</v>
      </c>
      <c r="J258" s="2">
        <v>3776</v>
      </c>
      <c r="K258" s="2">
        <v>45311</v>
      </c>
    </row>
    <row r="259" spans="1:11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13</v>
      </c>
      <c r="G259" s="4" t="s">
        <v>20</v>
      </c>
      <c r="H259" s="11" t="s">
        <v>289</v>
      </c>
      <c r="I259" s="11" t="s">
        <v>35</v>
      </c>
      <c r="J259" s="2">
        <v>6290</v>
      </c>
      <c r="K259" s="2">
        <v>50320</v>
      </c>
    </row>
    <row r="260" spans="1:11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13</v>
      </c>
      <c r="G260" s="4" t="s">
        <v>22</v>
      </c>
      <c r="H260" s="11" t="s">
        <v>289</v>
      </c>
      <c r="I260" s="11" t="s">
        <v>35</v>
      </c>
      <c r="J260" s="2">
        <v>2443</v>
      </c>
      <c r="K260" s="2">
        <v>24433</v>
      </c>
    </row>
    <row r="261" spans="1:11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13</v>
      </c>
      <c r="G261" s="4" t="s">
        <v>15</v>
      </c>
      <c r="H261" s="11" t="s">
        <v>432</v>
      </c>
      <c r="I261" s="11" t="s">
        <v>29</v>
      </c>
      <c r="J261" s="2">
        <v>27744</v>
      </c>
      <c r="K261" s="2">
        <v>332926</v>
      </c>
    </row>
    <row r="262" spans="1:11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13</v>
      </c>
      <c r="G262" s="4" t="s">
        <v>22</v>
      </c>
      <c r="H262" s="11" t="s">
        <v>289</v>
      </c>
      <c r="I262" s="11" t="s">
        <v>35</v>
      </c>
      <c r="J262" s="2">
        <v>2032</v>
      </c>
      <c r="K262" s="2">
        <v>8126</v>
      </c>
    </row>
    <row r="263" spans="1:11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13</v>
      </c>
      <c r="G263" s="4" t="s">
        <v>22</v>
      </c>
      <c r="H263" s="11" t="s">
        <v>289</v>
      </c>
      <c r="I263" s="11" t="s">
        <v>35</v>
      </c>
      <c r="J263" s="2">
        <v>2892</v>
      </c>
      <c r="K263" s="2">
        <v>28920</v>
      </c>
    </row>
    <row r="264" spans="1:11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13</v>
      </c>
      <c r="G264" s="4" t="s">
        <v>20</v>
      </c>
      <c r="H264" s="11" t="s">
        <v>289</v>
      </c>
      <c r="I264" s="11" t="s">
        <v>35</v>
      </c>
      <c r="J264" s="2">
        <v>883</v>
      </c>
      <c r="K264" s="2">
        <v>6182</v>
      </c>
    </row>
    <row r="265" spans="1:11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13</v>
      </c>
      <c r="G265" s="4" t="s">
        <v>22</v>
      </c>
      <c r="H265" s="11" t="s">
        <v>289</v>
      </c>
      <c r="I265" s="11" t="s">
        <v>35</v>
      </c>
      <c r="J265" s="2">
        <v>1797</v>
      </c>
      <c r="K265" s="2">
        <v>21569</v>
      </c>
    </row>
    <row r="266" spans="1:11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13</v>
      </c>
      <c r="G266" s="4" t="s">
        <v>20</v>
      </c>
      <c r="H266" s="11" t="s">
        <v>289</v>
      </c>
      <c r="I266" s="11" t="s">
        <v>35</v>
      </c>
      <c r="J266" s="2">
        <v>56524</v>
      </c>
      <c r="K266" s="2">
        <v>621764</v>
      </c>
    </row>
    <row r="267" spans="1:11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13</v>
      </c>
      <c r="G267" s="4" t="s">
        <v>22</v>
      </c>
      <c r="H267" s="11" t="s">
        <v>289</v>
      </c>
      <c r="I267" s="11" t="s">
        <v>35</v>
      </c>
      <c r="J267" s="2">
        <v>6091</v>
      </c>
      <c r="K267" s="2">
        <v>79181</v>
      </c>
    </row>
    <row r="268" spans="1:11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13</v>
      </c>
      <c r="G268" s="4" t="s">
        <v>22</v>
      </c>
      <c r="H268" s="11" t="s">
        <v>289</v>
      </c>
      <c r="I268" s="11" t="s">
        <v>35</v>
      </c>
      <c r="J268" s="2">
        <v>9243</v>
      </c>
      <c r="K268" s="2">
        <v>138650</v>
      </c>
    </row>
    <row r="269" spans="1:11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13</v>
      </c>
      <c r="G269" s="4" t="s">
        <v>22</v>
      </c>
      <c r="H269" s="11" t="s">
        <v>289</v>
      </c>
      <c r="I269" s="11" t="s">
        <v>35</v>
      </c>
      <c r="J269" s="2">
        <v>4388</v>
      </c>
      <c r="K269" s="2">
        <v>13165</v>
      </c>
    </row>
    <row r="270" spans="1:11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13</v>
      </c>
      <c r="G270" s="4" t="s">
        <v>22</v>
      </c>
      <c r="H270" s="11" t="s">
        <v>289</v>
      </c>
      <c r="I270" s="11" t="s">
        <v>35</v>
      </c>
      <c r="J270" s="2">
        <v>4467</v>
      </c>
      <c r="K270" s="2">
        <v>44672</v>
      </c>
    </row>
    <row r="271" spans="1:11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13</v>
      </c>
      <c r="G271" s="4" t="s">
        <v>22</v>
      </c>
      <c r="H271" s="11" t="s">
        <v>289</v>
      </c>
      <c r="I271" s="11" t="s">
        <v>35</v>
      </c>
      <c r="J271" s="2">
        <v>3154</v>
      </c>
      <c r="K271" s="2">
        <v>28388</v>
      </c>
    </row>
    <row r="272" spans="1:11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13</v>
      </c>
      <c r="G272" s="4" t="s">
        <v>15</v>
      </c>
      <c r="H272" s="11" t="s">
        <v>432</v>
      </c>
      <c r="I272" s="11" t="s">
        <v>29</v>
      </c>
      <c r="J272" s="2">
        <v>783</v>
      </c>
      <c r="K272" s="2">
        <v>6263</v>
      </c>
    </row>
    <row r="273" spans="1:11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13</v>
      </c>
      <c r="G273" s="4" t="s">
        <v>22</v>
      </c>
      <c r="H273" s="11" t="s">
        <v>289</v>
      </c>
      <c r="I273" s="11" t="s">
        <v>35</v>
      </c>
      <c r="J273" s="2">
        <v>5069</v>
      </c>
      <c r="K273" s="2">
        <v>55756</v>
      </c>
    </row>
    <row r="274" spans="1:11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13</v>
      </c>
      <c r="G274" s="4" t="s">
        <v>22</v>
      </c>
      <c r="H274" s="11" t="s">
        <v>289</v>
      </c>
      <c r="I274" s="11" t="s">
        <v>35</v>
      </c>
      <c r="J274" s="2">
        <v>6419</v>
      </c>
      <c r="K274" s="2">
        <v>38516</v>
      </c>
    </row>
    <row r="275" spans="1:11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13</v>
      </c>
      <c r="G275" s="4" t="s">
        <v>22</v>
      </c>
      <c r="H275" s="11" t="s">
        <v>289</v>
      </c>
      <c r="I275" s="11" t="s">
        <v>35</v>
      </c>
      <c r="J275" s="2">
        <v>1359</v>
      </c>
      <c r="K275" s="2">
        <v>14945</v>
      </c>
    </row>
    <row r="276" spans="1:11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13</v>
      </c>
      <c r="G276" s="4" t="s">
        <v>22</v>
      </c>
      <c r="H276" s="11" t="s">
        <v>289</v>
      </c>
      <c r="I276" s="11" t="s">
        <v>35</v>
      </c>
      <c r="J276" s="2">
        <v>2214</v>
      </c>
      <c r="K276" s="2">
        <v>13286</v>
      </c>
    </row>
    <row r="277" spans="1:11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13</v>
      </c>
      <c r="G277" s="4" t="s">
        <v>20</v>
      </c>
      <c r="H277" s="11" t="s">
        <v>289</v>
      </c>
      <c r="I277" s="11" t="s">
        <v>35</v>
      </c>
      <c r="J277" s="2">
        <v>2715</v>
      </c>
      <c r="K277" s="2">
        <v>32575</v>
      </c>
    </row>
    <row r="278" spans="1:11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13</v>
      </c>
      <c r="G278" s="4" t="s">
        <v>20</v>
      </c>
      <c r="H278" s="11" t="s">
        <v>289</v>
      </c>
      <c r="I278" s="11" t="s">
        <v>35</v>
      </c>
      <c r="J278" s="2">
        <v>2931</v>
      </c>
      <c r="K278" s="2">
        <v>26383</v>
      </c>
    </row>
    <row r="279" spans="1:11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13</v>
      </c>
      <c r="G279" s="4" t="s">
        <v>22</v>
      </c>
      <c r="H279" s="11" t="s">
        <v>289</v>
      </c>
      <c r="I279" s="11" t="s">
        <v>35</v>
      </c>
      <c r="J279" s="2">
        <v>6362</v>
      </c>
      <c r="K279" s="2">
        <v>44536</v>
      </c>
    </row>
    <row r="280" spans="1:11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13</v>
      </c>
      <c r="G280" s="4" t="s">
        <v>22</v>
      </c>
      <c r="H280" s="11" t="s">
        <v>289</v>
      </c>
      <c r="I280" s="11" t="s">
        <v>35</v>
      </c>
      <c r="J280" s="2">
        <v>262</v>
      </c>
      <c r="K280" s="2">
        <v>3138</v>
      </c>
    </row>
    <row r="281" spans="1:11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13</v>
      </c>
      <c r="G281" s="4" t="s">
        <v>15</v>
      </c>
      <c r="H281" s="11" t="s">
        <v>289</v>
      </c>
      <c r="I281" s="11" t="s">
        <v>35</v>
      </c>
      <c r="J281" s="2">
        <v>5418</v>
      </c>
      <c r="K281" s="2">
        <v>21670</v>
      </c>
    </row>
    <row r="282" spans="1:11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13</v>
      </c>
      <c r="G282" s="4" t="s">
        <v>15</v>
      </c>
      <c r="H282" s="11" t="s">
        <v>289</v>
      </c>
      <c r="I282" s="11" t="s">
        <v>35</v>
      </c>
      <c r="J282" s="2">
        <v>31</v>
      </c>
      <c r="K282" s="2">
        <v>125</v>
      </c>
    </row>
    <row r="283" spans="1:11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734</v>
      </c>
      <c r="G283" s="4" t="s">
        <v>22</v>
      </c>
      <c r="H283" s="11" t="s">
        <v>432</v>
      </c>
      <c r="I283" s="11" t="s">
        <v>29</v>
      </c>
      <c r="J283" s="2">
        <v>427</v>
      </c>
      <c r="K283" s="2">
        <v>427</v>
      </c>
    </row>
    <row r="284" spans="1:11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13</v>
      </c>
      <c r="G284" s="4" t="s">
        <v>15</v>
      </c>
      <c r="H284" s="11" t="s">
        <v>289</v>
      </c>
      <c r="I284" s="11" t="s">
        <v>35</v>
      </c>
      <c r="J284" s="2">
        <v>2758</v>
      </c>
      <c r="K284" s="2">
        <v>57920</v>
      </c>
    </row>
    <row r="285" spans="1:11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13</v>
      </c>
      <c r="G285" s="4" t="s">
        <v>22</v>
      </c>
      <c r="H285" s="11" t="s">
        <v>289</v>
      </c>
      <c r="I285" s="11" t="s">
        <v>35</v>
      </c>
      <c r="J285" s="2">
        <v>3634</v>
      </c>
      <c r="K285" s="2">
        <v>25441</v>
      </c>
    </row>
    <row r="286" spans="1:11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13</v>
      </c>
      <c r="G286" s="4" t="s">
        <v>22</v>
      </c>
      <c r="H286" s="11" t="s">
        <v>289</v>
      </c>
      <c r="I286" s="11" t="s">
        <v>35</v>
      </c>
      <c r="J286" s="2">
        <v>9657</v>
      </c>
      <c r="K286" s="2">
        <v>67597</v>
      </c>
    </row>
    <row r="287" spans="1:11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13</v>
      </c>
      <c r="G287" s="4" t="s">
        <v>20</v>
      </c>
      <c r="H287" s="11" t="s">
        <v>289</v>
      </c>
      <c r="I287" s="11" t="s">
        <v>35</v>
      </c>
      <c r="J287" s="2">
        <v>1947</v>
      </c>
      <c r="K287" s="2">
        <v>15577</v>
      </c>
    </row>
    <row r="288" spans="1:11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13</v>
      </c>
      <c r="G288" s="4" t="s">
        <v>22</v>
      </c>
      <c r="H288" s="11" t="s">
        <v>289</v>
      </c>
      <c r="I288" s="11" t="s">
        <v>35</v>
      </c>
      <c r="J288" s="2">
        <v>209</v>
      </c>
      <c r="K288" s="2">
        <v>835</v>
      </c>
    </row>
    <row r="289" spans="1:11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13</v>
      </c>
      <c r="G289" s="4" t="s">
        <v>20</v>
      </c>
      <c r="H289" s="11" t="s">
        <v>289</v>
      </c>
      <c r="I289" s="11" t="s">
        <v>35</v>
      </c>
      <c r="J289" s="2">
        <v>6762</v>
      </c>
      <c r="K289" s="2">
        <v>27049</v>
      </c>
    </row>
    <row r="290" spans="1:11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13</v>
      </c>
      <c r="G290" s="4" t="s">
        <v>22</v>
      </c>
      <c r="H290" s="11" t="s">
        <v>289</v>
      </c>
      <c r="I290" s="11" t="s">
        <v>35</v>
      </c>
      <c r="J290" s="2">
        <v>2542</v>
      </c>
      <c r="K290" s="2">
        <v>12708</v>
      </c>
    </row>
    <row r="291" spans="1:11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13</v>
      </c>
      <c r="G291" s="4" t="s">
        <v>22</v>
      </c>
      <c r="H291" s="11" t="s">
        <v>289</v>
      </c>
      <c r="I291" s="11" t="s">
        <v>35</v>
      </c>
      <c r="J291" s="2">
        <v>5973</v>
      </c>
      <c r="K291" s="2">
        <v>71674</v>
      </c>
    </row>
    <row r="292" spans="1:11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735</v>
      </c>
      <c r="G292" s="4" t="s">
        <v>20</v>
      </c>
      <c r="H292" s="11" t="s">
        <v>289</v>
      </c>
      <c r="I292" s="11" t="s">
        <v>35</v>
      </c>
      <c r="J292" s="2">
        <v>13875</v>
      </c>
      <c r="K292" s="2">
        <v>152627</v>
      </c>
    </row>
    <row r="293" spans="1:11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13</v>
      </c>
      <c r="G293" s="4" t="s">
        <v>20</v>
      </c>
      <c r="H293" s="11" t="s">
        <v>289</v>
      </c>
      <c r="I293" s="11" t="s">
        <v>35</v>
      </c>
      <c r="J293" s="2">
        <v>4343</v>
      </c>
      <c r="K293" s="2">
        <v>52119</v>
      </c>
    </row>
    <row r="294" spans="1:11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13</v>
      </c>
      <c r="G294" s="4" t="s">
        <v>15</v>
      </c>
      <c r="H294" s="11" t="s">
        <v>432</v>
      </c>
      <c r="I294" s="11" t="s">
        <v>29</v>
      </c>
      <c r="J294" s="2">
        <v>1641</v>
      </c>
      <c r="K294" s="2">
        <v>29542</v>
      </c>
    </row>
    <row r="295" spans="1:11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13</v>
      </c>
      <c r="G295" s="4" t="s">
        <v>22</v>
      </c>
      <c r="H295" s="11" t="s">
        <v>289</v>
      </c>
      <c r="I295" s="11" t="s">
        <v>35</v>
      </c>
      <c r="J295" s="2">
        <v>10628</v>
      </c>
      <c r="K295" s="2">
        <v>191302</v>
      </c>
    </row>
    <row r="296" spans="1:11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13</v>
      </c>
      <c r="G296" s="4" t="s">
        <v>15</v>
      </c>
      <c r="H296" s="11" t="s">
        <v>289</v>
      </c>
      <c r="I296" s="11" t="s">
        <v>35</v>
      </c>
      <c r="J296" s="2">
        <v>1085</v>
      </c>
      <c r="K296" s="2">
        <v>9765</v>
      </c>
    </row>
    <row r="297" spans="1:11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13</v>
      </c>
      <c r="G297" s="4" t="s">
        <v>15</v>
      </c>
      <c r="H297" s="11" t="s">
        <v>289</v>
      </c>
      <c r="I297" s="11" t="s">
        <v>35</v>
      </c>
      <c r="J297" s="2">
        <v>3341</v>
      </c>
      <c r="K297" s="2">
        <v>80177</v>
      </c>
    </row>
    <row r="298" spans="1:11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13</v>
      </c>
      <c r="G298" s="4" t="s">
        <v>22</v>
      </c>
      <c r="H298" s="11" t="s">
        <v>289</v>
      </c>
      <c r="I298" s="11" t="s">
        <v>35</v>
      </c>
      <c r="J298" s="2">
        <v>1246</v>
      </c>
      <c r="K298" s="2">
        <v>3737</v>
      </c>
    </row>
    <row r="299" spans="1:11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13</v>
      </c>
      <c r="G299" s="4" t="s">
        <v>20</v>
      </c>
      <c r="H299" s="11" t="s">
        <v>289</v>
      </c>
      <c r="I299" s="11" t="s">
        <v>35</v>
      </c>
      <c r="J299" s="2">
        <v>2227</v>
      </c>
      <c r="K299" s="2">
        <v>26721</v>
      </c>
    </row>
    <row r="300" spans="1:11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13</v>
      </c>
      <c r="G300" s="4" t="s">
        <v>20</v>
      </c>
      <c r="H300" s="11" t="s">
        <v>289</v>
      </c>
      <c r="I300" s="11" t="s">
        <v>35</v>
      </c>
      <c r="J300" s="2">
        <v>12442</v>
      </c>
      <c r="K300" s="2">
        <v>111979</v>
      </c>
    </row>
    <row r="301" spans="1:11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13</v>
      </c>
      <c r="G301" s="4" t="s">
        <v>15</v>
      </c>
      <c r="H301" s="11" t="s">
        <v>289</v>
      </c>
      <c r="I301" s="11" t="s">
        <v>35</v>
      </c>
      <c r="J301" s="2">
        <v>6379</v>
      </c>
      <c r="K301" s="2">
        <v>70168</v>
      </c>
    </row>
    <row r="302" spans="1:11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13</v>
      </c>
      <c r="G302" s="4" t="s">
        <v>15</v>
      </c>
      <c r="H302" s="11" t="s">
        <v>289</v>
      </c>
      <c r="I302" s="11" t="s">
        <v>35</v>
      </c>
      <c r="J302" s="2">
        <v>2644</v>
      </c>
      <c r="K302" s="2">
        <v>50230</v>
      </c>
    </row>
    <row r="303" spans="1:11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13</v>
      </c>
      <c r="G303" s="4" t="s">
        <v>20</v>
      </c>
      <c r="H303" s="11" t="s">
        <v>289</v>
      </c>
      <c r="I303" s="11" t="s">
        <v>35</v>
      </c>
      <c r="J303" s="2">
        <v>1737</v>
      </c>
      <c r="K303" s="2">
        <v>13899</v>
      </c>
    </row>
    <row r="304" spans="1:11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13</v>
      </c>
      <c r="G304" s="4" t="s">
        <v>22</v>
      </c>
      <c r="H304" s="11" t="s">
        <v>289</v>
      </c>
      <c r="I304" s="11" t="s">
        <v>35</v>
      </c>
      <c r="J304" s="2">
        <v>2752</v>
      </c>
      <c r="K304" s="2">
        <v>27518</v>
      </c>
    </row>
    <row r="305" spans="1:11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13</v>
      </c>
      <c r="G305" s="4" t="s">
        <v>15</v>
      </c>
      <c r="H305" s="11" t="s">
        <v>432</v>
      </c>
      <c r="I305" s="11" t="s">
        <v>29</v>
      </c>
      <c r="J305" s="2">
        <v>14992</v>
      </c>
      <c r="K305" s="2">
        <v>134930</v>
      </c>
    </row>
    <row r="306" spans="1:11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13</v>
      </c>
      <c r="G306" s="4" t="s">
        <v>15</v>
      </c>
      <c r="H306" s="11" t="s">
        <v>289</v>
      </c>
      <c r="I306" s="11" t="s">
        <v>35</v>
      </c>
      <c r="J306" s="2">
        <v>679</v>
      </c>
      <c r="K306" s="2">
        <v>8147</v>
      </c>
    </row>
    <row r="307" spans="1:11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13</v>
      </c>
      <c r="G307" s="4" t="s">
        <v>15</v>
      </c>
      <c r="H307" s="11" t="s">
        <v>289</v>
      </c>
      <c r="I307" s="11" t="s">
        <v>35</v>
      </c>
      <c r="J307" s="2">
        <v>1402</v>
      </c>
      <c r="K307" s="2">
        <v>18231</v>
      </c>
    </row>
    <row r="308" spans="1:11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13</v>
      </c>
      <c r="G308" s="4" t="s">
        <v>20</v>
      </c>
      <c r="H308" s="11" t="s">
        <v>289</v>
      </c>
      <c r="I308" s="11" t="s">
        <v>35</v>
      </c>
      <c r="J308" s="2">
        <v>671</v>
      </c>
      <c r="K308" s="2">
        <v>6040</v>
      </c>
    </row>
    <row r="309" spans="1:11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13</v>
      </c>
      <c r="G309" s="4" t="s">
        <v>20</v>
      </c>
      <c r="H309" s="11" t="s">
        <v>289</v>
      </c>
      <c r="I309" s="11" t="s">
        <v>35</v>
      </c>
      <c r="J309" s="2">
        <v>2230</v>
      </c>
      <c r="K309" s="2">
        <v>26761</v>
      </c>
    </row>
    <row r="310" spans="1:11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13</v>
      </c>
      <c r="G310" s="4" t="s">
        <v>20</v>
      </c>
      <c r="H310" s="11" t="s">
        <v>289</v>
      </c>
      <c r="I310" s="11" t="s">
        <v>35</v>
      </c>
      <c r="J310" s="2">
        <v>5431</v>
      </c>
      <c r="K310" s="2">
        <v>43449</v>
      </c>
    </row>
    <row r="311" spans="1:11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13</v>
      </c>
      <c r="G311" s="4" t="s">
        <v>22</v>
      </c>
      <c r="H311" s="11" t="s">
        <v>289</v>
      </c>
      <c r="I311" s="11" t="s">
        <v>35</v>
      </c>
      <c r="J311" s="2">
        <v>36591</v>
      </c>
      <c r="K311" s="2">
        <v>439090</v>
      </c>
    </row>
    <row r="312" spans="1:11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13</v>
      </c>
      <c r="G312" s="4" t="s">
        <v>22</v>
      </c>
      <c r="H312" s="11" t="s">
        <v>289</v>
      </c>
      <c r="I312" s="11" t="s">
        <v>35</v>
      </c>
      <c r="J312" s="2">
        <v>1690</v>
      </c>
      <c r="K312" s="2">
        <v>13521</v>
      </c>
    </row>
    <row r="313" spans="1:11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13</v>
      </c>
      <c r="G313" s="4" t="s">
        <v>15</v>
      </c>
      <c r="H313" s="11" t="s">
        <v>289</v>
      </c>
      <c r="I313" s="11" t="s">
        <v>35</v>
      </c>
      <c r="J313" s="2">
        <v>953</v>
      </c>
      <c r="K313" s="2">
        <v>10481</v>
      </c>
    </row>
    <row r="314" spans="1:11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13</v>
      </c>
      <c r="G314" s="4" t="s">
        <v>22</v>
      </c>
      <c r="H314" s="11" t="s">
        <v>289</v>
      </c>
      <c r="I314" s="11" t="s">
        <v>35</v>
      </c>
      <c r="J314" s="2">
        <v>1549</v>
      </c>
      <c r="K314" s="2">
        <v>29423</v>
      </c>
    </row>
    <row r="315" spans="1:11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13</v>
      </c>
      <c r="G315" s="4" t="s">
        <v>22</v>
      </c>
      <c r="H315" s="11" t="s">
        <v>289</v>
      </c>
      <c r="I315" s="11" t="s">
        <v>35</v>
      </c>
      <c r="J315" s="2">
        <v>561</v>
      </c>
      <c r="K315" s="2">
        <v>10099</v>
      </c>
    </row>
    <row r="316" spans="1:11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736</v>
      </c>
      <c r="G316" s="4" t="s">
        <v>20</v>
      </c>
      <c r="H316" s="11" t="s">
        <v>432</v>
      </c>
      <c r="I316" s="11" t="s">
        <v>29</v>
      </c>
      <c r="J316" s="2">
        <v>55086</v>
      </c>
      <c r="K316" s="2">
        <v>330513</v>
      </c>
    </row>
    <row r="317" spans="1:11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13</v>
      </c>
      <c r="G317" s="4" t="s">
        <v>15</v>
      </c>
      <c r="H317" s="11" t="s">
        <v>289</v>
      </c>
      <c r="I317" s="11" t="s">
        <v>35</v>
      </c>
      <c r="J317" s="2">
        <v>1596</v>
      </c>
      <c r="K317" s="2">
        <v>20748</v>
      </c>
    </row>
    <row r="318" spans="1:11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13</v>
      </c>
      <c r="G318" s="4" t="s">
        <v>20</v>
      </c>
      <c r="H318" s="11" t="s">
        <v>289</v>
      </c>
      <c r="I318" s="11" t="s">
        <v>35</v>
      </c>
      <c r="J318" s="2">
        <v>1269</v>
      </c>
      <c r="K318" s="2">
        <v>11424</v>
      </c>
    </row>
    <row r="319" spans="1:11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13</v>
      </c>
      <c r="G319" s="4" t="s">
        <v>15</v>
      </c>
      <c r="H319" s="11" t="s">
        <v>289</v>
      </c>
      <c r="I319" s="11" t="s">
        <v>35</v>
      </c>
      <c r="J319" s="2">
        <v>23791</v>
      </c>
      <c r="K319" s="2">
        <v>142744</v>
      </c>
    </row>
    <row r="320" spans="1:11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13</v>
      </c>
      <c r="G320" s="4" t="s">
        <v>22</v>
      </c>
      <c r="H320" s="11" t="s">
        <v>289</v>
      </c>
      <c r="I320" s="11" t="s">
        <v>35</v>
      </c>
      <c r="J320" s="2">
        <v>1446</v>
      </c>
      <c r="K320" s="2">
        <v>18796</v>
      </c>
    </row>
    <row r="321" spans="1:11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13</v>
      </c>
      <c r="G321" s="4" t="s">
        <v>20</v>
      </c>
      <c r="H321" s="11" t="s">
        <v>289</v>
      </c>
      <c r="I321" s="11" t="s">
        <v>35</v>
      </c>
      <c r="J321" s="2">
        <v>1432</v>
      </c>
      <c r="K321" s="2">
        <v>17181</v>
      </c>
    </row>
    <row r="322" spans="1:11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13</v>
      </c>
      <c r="G322" s="4" t="s">
        <v>22</v>
      </c>
      <c r="H322" s="11" t="s">
        <v>289</v>
      </c>
      <c r="I322" s="11" t="s">
        <v>35</v>
      </c>
      <c r="J322" s="2">
        <v>34007</v>
      </c>
      <c r="K322" s="2">
        <v>272053</v>
      </c>
    </row>
    <row r="323" spans="1:11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13</v>
      </c>
      <c r="G323" s="4" t="s">
        <v>20</v>
      </c>
      <c r="H323" s="11" t="s">
        <v>289</v>
      </c>
      <c r="I323" s="11" t="s">
        <v>35</v>
      </c>
      <c r="J323" s="2">
        <v>13213</v>
      </c>
      <c r="K323" s="2">
        <v>39638</v>
      </c>
    </row>
    <row r="324" spans="1:11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13</v>
      </c>
      <c r="G324" s="4" t="s">
        <v>20</v>
      </c>
      <c r="H324" s="11" t="s">
        <v>289</v>
      </c>
      <c r="I324" s="11" t="s">
        <v>35</v>
      </c>
      <c r="J324" s="2">
        <v>3122</v>
      </c>
      <c r="K324" s="2">
        <v>12487</v>
      </c>
    </row>
    <row r="325" spans="1:11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13</v>
      </c>
      <c r="G325" s="4" t="s">
        <v>20</v>
      </c>
      <c r="H325" s="11" t="s">
        <v>289</v>
      </c>
      <c r="I325" s="11" t="s">
        <v>35</v>
      </c>
      <c r="J325" s="2">
        <v>27632</v>
      </c>
      <c r="K325" s="2">
        <v>442114</v>
      </c>
    </row>
    <row r="326" spans="1:11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13</v>
      </c>
      <c r="G326" s="4" t="s">
        <v>22</v>
      </c>
      <c r="H326" s="11" t="s">
        <v>289</v>
      </c>
      <c r="I326" s="11" t="s">
        <v>35</v>
      </c>
      <c r="J326" s="2">
        <v>3169</v>
      </c>
      <c r="K326" s="2">
        <v>25348</v>
      </c>
    </row>
    <row r="327" spans="1:11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13</v>
      </c>
      <c r="G327" s="4" t="s">
        <v>15</v>
      </c>
      <c r="H327" s="11" t="s">
        <v>432</v>
      </c>
      <c r="I327" s="11" t="s">
        <v>29</v>
      </c>
      <c r="J327" s="2">
        <v>33946</v>
      </c>
      <c r="K327" s="2">
        <v>169728</v>
      </c>
    </row>
    <row r="328" spans="1:11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13</v>
      </c>
      <c r="G328" s="4" t="s">
        <v>15</v>
      </c>
      <c r="H328" s="11" t="s">
        <v>289</v>
      </c>
      <c r="I328" s="11" t="s">
        <v>35</v>
      </c>
      <c r="J328" s="2">
        <v>3112</v>
      </c>
      <c r="K328" s="2">
        <v>21783</v>
      </c>
    </row>
    <row r="329" spans="1:11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13</v>
      </c>
      <c r="G329" s="4" t="s">
        <v>15</v>
      </c>
      <c r="H329" s="11" t="s">
        <v>289</v>
      </c>
      <c r="I329" s="11" t="s">
        <v>35</v>
      </c>
      <c r="J329" s="2">
        <v>15948</v>
      </c>
      <c r="K329" s="2">
        <v>334914</v>
      </c>
    </row>
    <row r="330" spans="1:11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13</v>
      </c>
      <c r="G330" s="4" t="s">
        <v>20</v>
      </c>
      <c r="H330" s="11" t="s">
        <v>289</v>
      </c>
      <c r="I330" s="11" t="s">
        <v>35</v>
      </c>
      <c r="J330" s="2">
        <v>3341</v>
      </c>
      <c r="K330" s="2">
        <v>20046</v>
      </c>
    </row>
    <row r="331" spans="1:11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13</v>
      </c>
      <c r="G331" s="4" t="s">
        <v>20</v>
      </c>
      <c r="H331" s="11" t="s">
        <v>289</v>
      </c>
      <c r="I331" s="11" t="s">
        <v>35</v>
      </c>
      <c r="J331" s="2">
        <v>9165</v>
      </c>
      <c r="K331" s="2">
        <v>119151</v>
      </c>
    </row>
    <row r="332" spans="1:11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13</v>
      </c>
      <c r="G332" s="4" t="s">
        <v>20</v>
      </c>
      <c r="H332" s="11" t="s">
        <v>289</v>
      </c>
      <c r="I332" s="11" t="s">
        <v>35</v>
      </c>
      <c r="J332" s="2">
        <v>1761</v>
      </c>
      <c r="K332" s="2">
        <v>21130</v>
      </c>
    </row>
    <row r="333" spans="1:11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13</v>
      </c>
      <c r="G333" s="4" t="s">
        <v>22</v>
      </c>
      <c r="H333" s="11" t="s">
        <v>289</v>
      </c>
      <c r="I333" s="11" t="s">
        <v>35</v>
      </c>
      <c r="J333" s="2">
        <v>1432</v>
      </c>
      <c r="K333" s="2">
        <v>21482</v>
      </c>
    </row>
    <row r="334" spans="1:11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13</v>
      </c>
      <c r="G334" s="4" t="s">
        <v>22</v>
      </c>
      <c r="H334" s="11" t="s">
        <v>289</v>
      </c>
      <c r="I334" s="11" t="s">
        <v>35</v>
      </c>
      <c r="J334" s="2">
        <v>4993</v>
      </c>
      <c r="K334" s="2">
        <v>49925</v>
      </c>
    </row>
    <row r="335" spans="1:11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13</v>
      </c>
      <c r="G335" s="4" t="s">
        <v>22</v>
      </c>
      <c r="H335" s="11" t="s">
        <v>289</v>
      </c>
      <c r="I335" s="11" t="s">
        <v>35</v>
      </c>
      <c r="J335" s="2">
        <v>5798</v>
      </c>
      <c r="K335" s="2">
        <v>34785</v>
      </c>
    </row>
    <row r="336" spans="1:11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13</v>
      </c>
      <c r="G336" s="4" t="s">
        <v>15</v>
      </c>
      <c r="H336" s="11" t="s">
        <v>289</v>
      </c>
      <c r="I336" s="11" t="s">
        <v>35</v>
      </c>
      <c r="J336" s="2">
        <v>22645</v>
      </c>
      <c r="K336" s="2">
        <v>113227</v>
      </c>
    </row>
    <row r="337" spans="1:11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13</v>
      </c>
      <c r="G337" s="4" t="s">
        <v>20</v>
      </c>
      <c r="H337" s="11" t="s">
        <v>289</v>
      </c>
      <c r="I337" s="11" t="s">
        <v>35</v>
      </c>
      <c r="J337" s="2">
        <v>3575</v>
      </c>
      <c r="K337" s="2">
        <v>25022</v>
      </c>
    </row>
    <row r="338" spans="1:11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13</v>
      </c>
      <c r="G338" s="4" t="s">
        <v>15</v>
      </c>
      <c r="H338" s="11" t="s">
        <v>25</v>
      </c>
      <c r="I338" s="11" t="s">
        <v>26</v>
      </c>
      <c r="J338" s="2">
        <v>1057</v>
      </c>
      <c r="K338" s="2">
        <v>10569</v>
      </c>
    </row>
    <row r="339" spans="1:11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13</v>
      </c>
      <c r="G339" s="4" t="s">
        <v>20</v>
      </c>
      <c r="H339" s="11" t="s">
        <v>432</v>
      </c>
      <c r="I339" s="11" t="s">
        <v>29</v>
      </c>
      <c r="J339" s="2">
        <v>755</v>
      </c>
      <c r="K339" s="2">
        <v>11318</v>
      </c>
    </row>
    <row r="340" spans="1:11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13</v>
      </c>
      <c r="G340" s="4" t="s">
        <v>15</v>
      </c>
      <c r="H340" s="11" t="s">
        <v>289</v>
      </c>
      <c r="I340" s="11" t="s">
        <v>35</v>
      </c>
      <c r="J340" s="2">
        <v>15600</v>
      </c>
      <c r="K340" s="2">
        <v>93602</v>
      </c>
    </row>
    <row r="341" spans="1:11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13</v>
      </c>
      <c r="G341" s="4" t="s">
        <v>22</v>
      </c>
      <c r="H341" s="11" t="s">
        <v>289</v>
      </c>
      <c r="I341" s="11" t="s">
        <v>35</v>
      </c>
      <c r="J341" s="2">
        <v>6243</v>
      </c>
      <c r="K341" s="2">
        <v>56188</v>
      </c>
    </row>
    <row r="342" spans="1:11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13</v>
      </c>
      <c r="G342" s="4" t="s">
        <v>22</v>
      </c>
      <c r="H342" s="11" t="s">
        <v>289</v>
      </c>
      <c r="I342" s="11" t="s">
        <v>35</v>
      </c>
      <c r="J342" s="2">
        <v>15661</v>
      </c>
      <c r="K342" s="2">
        <v>93963</v>
      </c>
    </row>
    <row r="343" spans="1:11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13</v>
      </c>
      <c r="G343" s="4" t="s">
        <v>22</v>
      </c>
      <c r="H343" s="11" t="s">
        <v>628</v>
      </c>
      <c r="I343" s="11" t="s">
        <v>35</v>
      </c>
      <c r="J343" s="2">
        <v>4679</v>
      </c>
      <c r="K343" s="2">
        <v>18716</v>
      </c>
    </row>
    <row r="344" spans="1:11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13</v>
      </c>
      <c r="G344" s="4" t="s">
        <v>22</v>
      </c>
      <c r="H344" s="11" t="s">
        <v>628</v>
      </c>
      <c r="I344" s="11" t="s">
        <v>35</v>
      </c>
      <c r="J344" s="2">
        <v>3455</v>
      </c>
      <c r="K344" s="2">
        <v>58737</v>
      </c>
    </row>
    <row r="345" spans="1:11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13</v>
      </c>
      <c r="G345" s="4" t="s">
        <v>22</v>
      </c>
      <c r="H345" s="11" t="s">
        <v>628</v>
      </c>
      <c r="I345" s="11" t="s">
        <v>35</v>
      </c>
      <c r="J345" s="2">
        <v>3815</v>
      </c>
      <c r="K345" s="2">
        <v>34338</v>
      </c>
    </row>
    <row r="346" spans="1:11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13</v>
      </c>
      <c r="G346" s="4" t="s">
        <v>22</v>
      </c>
      <c r="H346" s="11" t="s">
        <v>628</v>
      </c>
      <c r="I346" s="11" t="s">
        <v>35</v>
      </c>
      <c r="J346" s="2">
        <v>13498</v>
      </c>
      <c r="K346" s="2">
        <v>134982</v>
      </c>
    </row>
    <row r="347" spans="1:11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13</v>
      </c>
      <c r="G347" s="4" t="s">
        <v>20</v>
      </c>
      <c r="H347" s="11" t="s">
        <v>628</v>
      </c>
      <c r="I347" s="11" t="s">
        <v>35</v>
      </c>
      <c r="J347" s="2">
        <v>733</v>
      </c>
      <c r="K347" s="2">
        <v>7330</v>
      </c>
    </row>
    <row r="348" spans="1:11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13</v>
      </c>
      <c r="G348" s="4" t="s">
        <v>15</v>
      </c>
      <c r="H348" s="11" t="s">
        <v>628</v>
      </c>
      <c r="I348" s="11" t="s">
        <v>35</v>
      </c>
      <c r="J348" s="2">
        <v>3946</v>
      </c>
      <c r="K348" s="2">
        <v>51298</v>
      </c>
    </row>
    <row r="349" spans="1:11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13</v>
      </c>
      <c r="G349" s="4" t="s">
        <v>22</v>
      </c>
      <c r="H349" s="11" t="s">
        <v>628</v>
      </c>
      <c r="I349" s="11" t="s">
        <v>35</v>
      </c>
      <c r="J349" s="2">
        <v>2357</v>
      </c>
      <c r="K349" s="2">
        <v>11784</v>
      </c>
    </row>
    <row r="350" spans="1:11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13</v>
      </c>
      <c r="G350" s="4" t="s">
        <v>15</v>
      </c>
      <c r="H350" s="11" t="s">
        <v>432</v>
      </c>
      <c r="I350" s="11" t="s">
        <v>29</v>
      </c>
      <c r="J350" s="2">
        <v>7612</v>
      </c>
      <c r="K350" s="2">
        <v>114182</v>
      </c>
    </row>
    <row r="351" spans="1:11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13</v>
      </c>
      <c r="G351" s="4" t="s">
        <v>20</v>
      </c>
      <c r="H351" s="11" t="s">
        <v>628</v>
      </c>
      <c r="I351" s="11" t="s">
        <v>35</v>
      </c>
      <c r="J351" s="2">
        <v>4134</v>
      </c>
      <c r="K351" s="2">
        <v>24805</v>
      </c>
    </row>
    <row r="352" spans="1:11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13</v>
      </c>
      <c r="G352" s="4" t="s">
        <v>20</v>
      </c>
      <c r="H352" s="11" t="s">
        <v>628</v>
      </c>
      <c r="I352" s="11" t="s">
        <v>35</v>
      </c>
      <c r="J352" s="2">
        <v>667</v>
      </c>
      <c r="K352" s="2">
        <v>7332</v>
      </c>
    </row>
    <row r="353" spans="1:11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13</v>
      </c>
      <c r="G353" s="4" t="s">
        <v>15</v>
      </c>
      <c r="H353" s="11" t="s">
        <v>628</v>
      </c>
      <c r="I353" s="11" t="s">
        <v>35</v>
      </c>
      <c r="J353" s="2">
        <v>6425</v>
      </c>
      <c r="K353" s="2">
        <v>70671</v>
      </c>
    </row>
    <row r="354" spans="1:11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13</v>
      </c>
      <c r="G354" s="4" t="s">
        <v>22</v>
      </c>
      <c r="H354" s="11" t="s">
        <v>628</v>
      </c>
      <c r="I354" s="11" t="s">
        <v>35</v>
      </c>
      <c r="J354" s="2">
        <v>1464</v>
      </c>
      <c r="K354" s="2">
        <v>27823</v>
      </c>
    </row>
    <row r="355" spans="1:11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13</v>
      </c>
      <c r="G355" s="4" t="s">
        <v>20</v>
      </c>
      <c r="H355" s="11" t="s">
        <v>628</v>
      </c>
      <c r="I355" s="11" t="s">
        <v>35</v>
      </c>
      <c r="J355" s="2">
        <v>1680</v>
      </c>
      <c r="K355" s="2">
        <v>3359</v>
      </c>
    </row>
    <row r="356" spans="1:11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13</v>
      </c>
      <c r="G356" s="4" t="s">
        <v>22</v>
      </c>
      <c r="H356" s="11" t="s">
        <v>628</v>
      </c>
      <c r="I356" s="11" t="s">
        <v>35</v>
      </c>
      <c r="J356" s="2">
        <v>497</v>
      </c>
      <c r="K356" s="2">
        <v>6954</v>
      </c>
    </row>
    <row r="357" spans="1:11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13</v>
      </c>
      <c r="G357" s="4" t="s">
        <v>20</v>
      </c>
      <c r="H357" s="11" t="s">
        <v>628</v>
      </c>
      <c r="I357" s="11" t="s">
        <v>35</v>
      </c>
      <c r="J357" s="2">
        <v>2242</v>
      </c>
      <c r="K357" s="2">
        <v>17935</v>
      </c>
    </row>
    <row r="358" spans="1:11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13</v>
      </c>
      <c r="G358" s="4" t="s">
        <v>22</v>
      </c>
      <c r="H358" s="11" t="s">
        <v>628</v>
      </c>
      <c r="I358" s="11" t="s">
        <v>35</v>
      </c>
      <c r="J358" s="2">
        <v>1298</v>
      </c>
      <c r="K358" s="2">
        <v>5193</v>
      </c>
    </row>
    <row r="359" spans="1:11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13</v>
      </c>
      <c r="G359" s="4" t="s">
        <v>22</v>
      </c>
      <c r="H359" s="11" t="s">
        <v>628</v>
      </c>
      <c r="I359" s="11" t="s">
        <v>35</v>
      </c>
      <c r="J359" s="2">
        <v>3504</v>
      </c>
      <c r="K359" s="2">
        <v>56057</v>
      </c>
    </row>
    <row r="360" spans="1:11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13</v>
      </c>
      <c r="G360" s="4" t="s">
        <v>20</v>
      </c>
      <c r="H360" s="11" t="s">
        <v>628</v>
      </c>
      <c r="I360" s="11" t="s">
        <v>35</v>
      </c>
      <c r="J360" s="2">
        <v>1954</v>
      </c>
      <c r="K360" s="2">
        <v>9769</v>
      </c>
    </row>
    <row r="361" spans="1:11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737</v>
      </c>
      <c r="G361" s="4" t="s">
        <v>20</v>
      </c>
      <c r="H361" s="11" t="s">
        <v>432</v>
      </c>
      <c r="I361" s="11" t="s">
        <v>29</v>
      </c>
      <c r="J361" s="2">
        <v>1266</v>
      </c>
      <c r="K361" s="2">
        <v>10131</v>
      </c>
    </row>
    <row r="362" spans="1:11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738</v>
      </c>
      <c r="G362" s="4" t="s">
        <v>20</v>
      </c>
      <c r="H362" s="11" t="s">
        <v>628</v>
      </c>
      <c r="I362" s="11" t="s">
        <v>35</v>
      </c>
      <c r="J362" s="2">
        <v>42699</v>
      </c>
      <c r="K362" s="2">
        <v>512387</v>
      </c>
    </row>
    <row r="363" spans="1:11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13</v>
      </c>
      <c r="G363" s="4" t="s">
        <v>15</v>
      </c>
      <c r="H363" s="11" t="s">
        <v>628</v>
      </c>
      <c r="I363" s="11" t="s">
        <v>35</v>
      </c>
      <c r="J363" s="2">
        <v>3505</v>
      </c>
      <c r="K363" s="2">
        <v>35045</v>
      </c>
    </row>
    <row r="364" spans="1:11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739</v>
      </c>
      <c r="G364" s="4" t="s">
        <v>20</v>
      </c>
      <c r="H364" s="11" t="s">
        <v>628</v>
      </c>
      <c r="I364" s="11" t="s">
        <v>35</v>
      </c>
      <c r="J364" s="2">
        <v>3194</v>
      </c>
      <c r="K364" s="2">
        <v>25548</v>
      </c>
    </row>
    <row r="365" spans="1:11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13</v>
      </c>
      <c r="G365" s="4" t="s">
        <v>20</v>
      </c>
      <c r="H365" s="11" t="s">
        <v>628</v>
      </c>
      <c r="I365" s="11" t="s">
        <v>35</v>
      </c>
      <c r="J365" s="2">
        <v>2817</v>
      </c>
      <c r="K365" s="2">
        <v>33807</v>
      </c>
    </row>
    <row r="366" spans="1:11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13</v>
      </c>
      <c r="G366" s="4" t="s">
        <v>22</v>
      </c>
      <c r="H366" s="11" t="s">
        <v>628</v>
      </c>
      <c r="I366" s="11" t="s">
        <v>35</v>
      </c>
      <c r="J366" s="2">
        <v>371</v>
      </c>
      <c r="K366" s="2">
        <v>1855</v>
      </c>
    </row>
    <row r="367" spans="1:11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13</v>
      </c>
      <c r="G367" s="4" t="s">
        <v>22</v>
      </c>
      <c r="H367" s="11" t="s">
        <v>628</v>
      </c>
      <c r="I367" s="11" t="s">
        <v>35</v>
      </c>
      <c r="J367" s="2">
        <v>1708</v>
      </c>
      <c r="K367" s="2">
        <v>11959</v>
      </c>
    </row>
    <row r="368" spans="1:11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13</v>
      </c>
      <c r="G368" s="4" t="s">
        <v>20</v>
      </c>
      <c r="H368" s="11" t="s">
        <v>628</v>
      </c>
      <c r="I368" s="11" t="s">
        <v>35</v>
      </c>
      <c r="J368" s="2">
        <v>4725</v>
      </c>
      <c r="K368" s="2">
        <v>51972</v>
      </c>
    </row>
    <row r="369" spans="1:11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13</v>
      </c>
      <c r="G369" s="4" t="s">
        <v>20</v>
      </c>
      <c r="H369" s="11" t="s">
        <v>628</v>
      </c>
      <c r="I369" s="11" t="s">
        <v>35</v>
      </c>
      <c r="J369" s="2">
        <v>2415</v>
      </c>
      <c r="K369" s="2">
        <v>21733</v>
      </c>
    </row>
    <row r="370" spans="1:11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13</v>
      </c>
      <c r="G370" s="4" t="s">
        <v>22</v>
      </c>
      <c r="H370" s="11" t="s">
        <v>628</v>
      </c>
      <c r="I370" s="11" t="s">
        <v>35</v>
      </c>
      <c r="J370" s="2">
        <v>4149</v>
      </c>
      <c r="K370" s="2">
        <v>45641</v>
      </c>
    </row>
    <row r="371" spans="1:11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13</v>
      </c>
      <c r="G371" s="4" t="s">
        <v>20</v>
      </c>
      <c r="H371" s="11" t="s">
        <v>628</v>
      </c>
      <c r="I371" s="11" t="s">
        <v>35</v>
      </c>
      <c r="J371" s="2">
        <v>6866</v>
      </c>
      <c r="K371" s="2">
        <v>48062</v>
      </c>
    </row>
    <row r="372" spans="1:11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13</v>
      </c>
      <c r="G372" s="4" t="s">
        <v>15</v>
      </c>
      <c r="H372" s="11" t="s">
        <v>432</v>
      </c>
      <c r="I372" s="11" t="s">
        <v>29</v>
      </c>
      <c r="J372" s="2">
        <v>419</v>
      </c>
      <c r="K372" s="2">
        <v>5442</v>
      </c>
    </row>
    <row r="373" spans="1:11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13</v>
      </c>
      <c r="G373" s="4" t="s">
        <v>22</v>
      </c>
      <c r="H373" s="11" t="s">
        <v>628</v>
      </c>
      <c r="I373" s="11" t="s">
        <v>35</v>
      </c>
      <c r="J373" s="2">
        <v>997</v>
      </c>
      <c r="K373" s="2">
        <v>11968</v>
      </c>
    </row>
    <row r="374" spans="1:11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13</v>
      </c>
      <c r="G374" s="4" t="s">
        <v>20</v>
      </c>
      <c r="H374" s="11" t="s">
        <v>628</v>
      </c>
      <c r="I374" s="11" t="s">
        <v>35</v>
      </c>
      <c r="J374" s="2">
        <v>735</v>
      </c>
      <c r="K374" s="2">
        <v>10294</v>
      </c>
    </row>
    <row r="375" spans="1:11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13</v>
      </c>
      <c r="G375" s="4" t="s">
        <v>22</v>
      </c>
      <c r="H375" s="11" t="s">
        <v>628</v>
      </c>
      <c r="I375" s="11" t="s">
        <v>35</v>
      </c>
      <c r="J375" s="2">
        <v>29788</v>
      </c>
      <c r="K375" s="2">
        <v>178727</v>
      </c>
    </row>
    <row r="376" spans="1:11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13</v>
      </c>
      <c r="G376" s="4" t="s">
        <v>20</v>
      </c>
      <c r="H376" s="11" t="s">
        <v>628</v>
      </c>
      <c r="I376" s="11" t="s">
        <v>35</v>
      </c>
      <c r="J376" s="2">
        <v>5914</v>
      </c>
      <c r="K376" s="2">
        <v>118282</v>
      </c>
    </row>
    <row r="377" spans="1:11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13</v>
      </c>
      <c r="G377" s="4" t="s">
        <v>20</v>
      </c>
      <c r="H377" s="11" t="s">
        <v>628</v>
      </c>
      <c r="I377" s="11" t="s">
        <v>35</v>
      </c>
      <c r="J377" s="2">
        <v>14806</v>
      </c>
      <c r="K377" s="2">
        <v>162864</v>
      </c>
    </row>
    <row r="378" spans="1:11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13</v>
      </c>
      <c r="G378" s="4" t="s">
        <v>22</v>
      </c>
      <c r="H378" s="11" t="s">
        <v>628</v>
      </c>
      <c r="I378" s="11" t="s">
        <v>35</v>
      </c>
      <c r="J378" s="2">
        <v>19881</v>
      </c>
      <c r="K378" s="2">
        <v>178933</v>
      </c>
    </row>
    <row r="379" spans="1:11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13</v>
      </c>
      <c r="G379" s="4" t="s">
        <v>20</v>
      </c>
      <c r="H379" s="11" t="s">
        <v>628</v>
      </c>
      <c r="I379" s="11" t="s">
        <v>35</v>
      </c>
      <c r="J379" s="2">
        <v>405</v>
      </c>
      <c r="K379" s="2">
        <v>4856</v>
      </c>
    </row>
    <row r="380" spans="1:11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13</v>
      </c>
      <c r="G380" s="4" t="s">
        <v>22</v>
      </c>
      <c r="H380" s="11" t="s">
        <v>628</v>
      </c>
      <c r="I380" s="11" t="s">
        <v>35</v>
      </c>
      <c r="J380" s="2">
        <v>7324</v>
      </c>
      <c r="K380" s="2">
        <v>43946</v>
      </c>
    </row>
    <row r="381" spans="1:11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13</v>
      </c>
      <c r="G381" s="4" t="s">
        <v>22</v>
      </c>
      <c r="H381" s="11" t="s">
        <v>628</v>
      </c>
      <c r="I381" s="11" t="s">
        <v>35</v>
      </c>
      <c r="J381" s="2">
        <v>2229</v>
      </c>
      <c r="K381" s="2">
        <v>24516</v>
      </c>
    </row>
    <row r="382" spans="1:11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13</v>
      </c>
      <c r="G382" s="4" t="s">
        <v>22</v>
      </c>
      <c r="H382" s="11" t="s">
        <v>628</v>
      </c>
      <c r="I382" s="11" t="s">
        <v>35</v>
      </c>
      <c r="J382" s="2">
        <v>2127</v>
      </c>
      <c r="K382" s="2">
        <v>19143</v>
      </c>
    </row>
    <row r="383" spans="1:11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13</v>
      </c>
      <c r="G383" s="4" t="s">
        <v>20</v>
      </c>
      <c r="H383" s="11" t="s">
        <v>432</v>
      </c>
      <c r="I383" s="11" t="s">
        <v>29</v>
      </c>
      <c r="J383" s="2">
        <v>21303</v>
      </c>
      <c r="K383" s="2">
        <v>170422</v>
      </c>
    </row>
    <row r="384" spans="1:11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13</v>
      </c>
      <c r="G384" s="4" t="s">
        <v>22</v>
      </c>
      <c r="H384" s="11" t="s">
        <v>628</v>
      </c>
      <c r="I384" s="11" t="s">
        <v>35</v>
      </c>
      <c r="J384" s="2">
        <v>3073</v>
      </c>
      <c r="K384" s="2">
        <v>33801</v>
      </c>
    </row>
    <row r="385" spans="1:11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13</v>
      </c>
      <c r="G385" s="4" t="s">
        <v>20</v>
      </c>
      <c r="H385" s="11" t="s">
        <v>628</v>
      </c>
      <c r="I385" s="11" t="s">
        <v>35</v>
      </c>
      <c r="J385" s="2">
        <v>4805</v>
      </c>
      <c r="K385" s="2">
        <v>38443</v>
      </c>
    </row>
    <row r="386" spans="1:11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13</v>
      </c>
      <c r="G386" s="4" t="s">
        <v>20</v>
      </c>
      <c r="H386" s="11" t="s">
        <v>628</v>
      </c>
      <c r="I386" s="11" t="s">
        <v>35</v>
      </c>
      <c r="J386" s="2">
        <v>1403</v>
      </c>
      <c r="K386" s="2">
        <v>19641</v>
      </c>
    </row>
    <row r="387" spans="1:11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13</v>
      </c>
      <c r="G387" s="4" t="s">
        <v>22</v>
      </c>
      <c r="H387" s="11" t="s">
        <v>628</v>
      </c>
      <c r="I387" s="11" t="s">
        <v>35</v>
      </c>
      <c r="J387" s="2">
        <v>16164</v>
      </c>
      <c r="K387" s="2">
        <v>96983</v>
      </c>
    </row>
    <row r="388" spans="1:11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13</v>
      </c>
      <c r="G388" s="4" t="s">
        <v>22</v>
      </c>
      <c r="H388" s="11" t="s">
        <v>628</v>
      </c>
      <c r="I388" s="11" t="s">
        <v>35</v>
      </c>
      <c r="J388" s="2">
        <v>15154</v>
      </c>
      <c r="K388" s="2">
        <v>197004</v>
      </c>
    </row>
    <row r="389" spans="1:11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13</v>
      </c>
      <c r="G389" s="4" t="s">
        <v>15</v>
      </c>
      <c r="H389" s="11" t="s">
        <v>628</v>
      </c>
      <c r="I389" s="11" t="s">
        <v>35</v>
      </c>
      <c r="J389" s="2">
        <v>1051</v>
      </c>
      <c r="K389" s="2">
        <v>10505</v>
      </c>
    </row>
    <row r="390" spans="1:11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13</v>
      </c>
      <c r="G390" s="4" t="s">
        <v>20</v>
      </c>
      <c r="H390" s="11" t="s">
        <v>628</v>
      </c>
      <c r="I390" s="11" t="s">
        <v>35</v>
      </c>
      <c r="J390" s="2">
        <v>12990</v>
      </c>
      <c r="K390" s="2">
        <v>246805</v>
      </c>
    </row>
    <row r="391" spans="1:11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13</v>
      </c>
      <c r="G391" s="4" t="s">
        <v>15</v>
      </c>
      <c r="H391" s="11" t="s">
        <v>628</v>
      </c>
      <c r="I391" s="11" t="s">
        <v>35</v>
      </c>
      <c r="J391" s="2">
        <v>27049</v>
      </c>
      <c r="K391" s="2">
        <v>189346</v>
      </c>
    </row>
    <row r="392" spans="1:11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13</v>
      </c>
      <c r="G392" s="4" t="s">
        <v>20</v>
      </c>
      <c r="H392" s="11" t="s">
        <v>628</v>
      </c>
      <c r="I392" s="11" t="s">
        <v>35</v>
      </c>
      <c r="J392" s="2">
        <v>9580</v>
      </c>
      <c r="K392" s="2">
        <v>383200</v>
      </c>
    </row>
    <row r="393" spans="1:11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13</v>
      </c>
      <c r="G393" s="4" t="s">
        <v>22</v>
      </c>
      <c r="H393" s="11" t="s">
        <v>628</v>
      </c>
      <c r="I393" s="11" t="s">
        <v>35</v>
      </c>
      <c r="J393" s="2">
        <v>2088</v>
      </c>
      <c r="K393" s="2">
        <v>22971</v>
      </c>
    </row>
    <row r="394" spans="1:11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13</v>
      </c>
      <c r="G394" s="4" t="s">
        <v>15</v>
      </c>
      <c r="H394" s="11" t="s">
        <v>432</v>
      </c>
      <c r="I394" s="11" t="s">
        <v>29</v>
      </c>
      <c r="J394" s="2">
        <v>1275</v>
      </c>
      <c r="K394" s="2">
        <v>6375</v>
      </c>
    </row>
    <row r="395" spans="1:11" x14ac:dyDescent="0.3">
      <c r="E395">
        <f t="shared" ref="E395:F395" si="1">SUM(E1:E394)</f>
        <v>38335069.949000001</v>
      </c>
      <c r="F395">
        <f t="shared" si="1"/>
        <v>0</v>
      </c>
      <c r="G395"/>
      <c r="J395">
        <f>SUM(J1:J394)</f>
        <v>3202883</v>
      </c>
      <c r="K395">
        <f>SUM(K1:K394)</f>
        <v>32568773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</vt:lpstr>
      <vt:lpstr>finance_customer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2026-05-26T06:02:24Z</dcterms:modified>
</cp:coreProperties>
</file>