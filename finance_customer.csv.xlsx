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Pandas\Finance data\"/>
    </mc:Choice>
  </mc:AlternateContent>
  <xr:revisionPtr revIDLastSave="0" documentId="13_ncr:1_{413594EE-6A91-4D9F-89EB-E30AB5C43CFB}" xr6:coauthVersionLast="47" xr6:coauthVersionMax="47" xr10:uidLastSave="{00000000-0000-0000-0000-000000000000}"/>
  <bookViews>
    <workbookView xWindow="-108" yWindow="-108" windowWidth="23256" windowHeight="12456" xr2:uid="{9802DE5F-B1D8-4319-BDEA-30F1B831059A}"/>
  </bookViews>
  <sheets>
    <sheet name="finance_customer" sheetId="1" r:id="rId1"/>
    <sheet name="Pivot Table" sheetId="2" r:id="rId2"/>
  </sheets>
  <calcPr calcId="191029"/>
  <pivotCaches>
    <pivotCache cacheId="0" r:id="rId3"/>
    <pivotCache cacheId="1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5" i="1" l="1" a="1"/>
  <c r="M35" i="1" s="1"/>
  <c r="M58" i="1" a="1"/>
  <c r="M58" i="1" s="1"/>
  <c r="M59" i="1" a="1"/>
  <c r="M59" i="1" s="1"/>
  <c r="M60" i="1" a="1"/>
  <c r="M60" i="1" s="1"/>
  <c r="M61" i="1" a="1"/>
  <c r="M61" i="1" s="1"/>
  <c r="M62" i="1" a="1"/>
  <c r="M62" i="1" s="1"/>
  <c r="M57" i="1" a="1"/>
  <c r="M57" i="1" s="1"/>
  <c r="M51" i="1" a="1"/>
  <c r="M51" i="1" s="1"/>
  <c r="N13" i="1" a="1"/>
  <c r="N13" i="1" s="1"/>
  <c r="M45" i="1" a="1"/>
  <c r="M45" i="1" s="1"/>
  <c r="R6" i="1"/>
  <c r="M36" i="1" a="1"/>
  <c r="M36" i="1" s="1"/>
  <c r="M37" i="1" a="1"/>
  <c r="M37" i="1" s="1"/>
  <c r="M34" i="1" a="1"/>
  <c r="M34" i="1" s="1"/>
  <c r="M40" i="1" a="1"/>
  <c r="M40" i="1" s="1"/>
  <c r="P7" i="1"/>
  <c r="M18" i="1" a="1"/>
  <c r="M18" i="1" s="1"/>
  <c r="M22" i="1" a="1"/>
  <c r="M22" i="1" s="1"/>
  <c r="M23" i="1" a="1"/>
  <c r="M23" i="1" s="1"/>
  <c r="M24" i="1" a="1"/>
  <c r="M24" i="1" s="1"/>
  <c r="M25" i="1" a="1"/>
  <c r="M25" i="1" s="1"/>
  <c r="M19" i="1" a="1"/>
  <c r="M19" i="1" s="1"/>
  <c r="M20" i="1" a="1"/>
  <c r="M20" i="1" s="1"/>
  <c r="M21" i="1" a="1"/>
  <c r="M21" i="1" s="1"/>
  <c r="M26" i="1" a="1"/>
  <c r="M26" i="1" s="1"/>
  <c r="O7" i="1"/>
  <c r="N7" i="1"/>
  <c r="M7" i="1"/>
  <c r="E395" i="1"/>
  <c r="M4" i="1" s="1"/>
  <c r="M38" i="1" a="1"/>
  <c r="M38" i="1" s="1"/>
  <c r="I395" i="1"/>
  <c r="J395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<sst xmlns="http://schemas.openxmlformats.org/spreadsheetml/2006/main" count="3144" uniqueCount="730">
  <si>
    <t>customer_id</t>
  </si>
  <si>
    <t>emp_title</t>
  </si>
  <si>
    <t>emp_length</t>
  </si>
  <si>
    <t>home_ownership</t>
  </si>
  <si>
    <t>annual_inc</t>
  </si>
  <si>
    <t>annual_inc_joint</t>
  </si>
  <si>
    <t>verification_status</t>
  </si>
  <si>
    <t>zip_code</t>
  </si>
  <si>
    <t>addr_state</t>
  </si>
  <si>
    <t>avg_cur_bal</t>
  </si>
  <si>
    <t>Tot_cur_bal</t>
  </si>
  <si>
    <t>customer 1</t>
  </si>
  <si>
    <t>None</t>
  </si>
  <si>
    <t>none</t>
  </si>
  <si>
    <t>Rent</t>
  </si>
  <si>
    <t>Verified</t>
  </si>
  <si>
    <t>010xx</t>
  </si>
  <si>
    <t>MA</t>
  </si>
  <si>
    <t>customer 2</t>
  </si>
  <si>
    <t>Mortgage</t>
  </si>
  <si>
    <t>Not Verified</t>
  </si>
  <si>
    <t>customer 3</t>
  </si>
  <si>
    <t>Source Verified</t>
  </si>
  <si>
    <t>015xx</t>
  </si>
  <si>
    <t>customer 4</t>
  </si>
  <si>
    <t>077xx</t>
  </si>
  <si>
    <t>NJ</t>
  </si>
  <si>
    <t>customer 5</t>
  </si>
  <si>
    <t>480xx</t>
  </si>
  <si>
    <t>MI</t>
  </si>
  <si>
    <t>customer 6</t>
  </si>
  <si>
    <t>Branches Director</t>
  </si>
  <si>
    <t>5 years</t>
  </si>
  <si>
    <t>Own</t>
  </si>
  <si>
    <t>107xx</t>
  </si>
  <si>
    <t>NY</t>
  </si>
  <si>
    <t>customer 7</t>
  </si>
  <si>
    <t>Purchasing Agent</t>
  </si>
  <si>
    <t>customer 8</t>
  </si>
  <si>
    <t>Driver</t>
  </si>
  <si>
    <t>customer 9</t>
  </si>
  <si>
    <t>Housing Specialist</t>
  </si>
  <si>
    <t>customer 10</t>
  </si>
  <si>
    <t>Forman</t>
  </si>
  <si>
    <t>customer 11</t>
  </si>
  <si>
    <t>Dietary Worker</t>
  </si>
  <si>
    <t>customer 12</t>
  </si>
  <si>
    <t>Janovic Paint</t>
  </si>
  <si>
    <t>customer 13</t>
  </si>
  <si>
    <t>Equipment Manager</t>
  </si>
  <si>
    <t>customer 14</t>
  </si>
  <si>
    <t>Paraprofessional</t>
  </si>
  <si>
    <t>customer 15</t>
  </si>
  <si>
    <t xml:space="preserve">Supervisor </t>
  </si>
  <si>
    <t>customer 16</t>
  </si>
  <si>
    <t>customer 17</t>
  </si>
  <si>
    <t>Office Manager</t>
  </si>
  <si>
    <t>customer 18</t>
  </si>
  <si>
    <t xml:space="preserve">President </t>
  </si>
  <si>
    <t>customer 19</t>
  </si>
  <si>
    <t>Manager, Deployment Services</t>
  </si>
  <si>
    <t>customer 20</t>
  </si>
  <si>
    <t>customer 21</t>
  </si>
  <si>
    <t>Controller</t>
  </si>
  <si>
    <t>customer 22</t>
  </si>
  <si>
    <t>Corrections Officer</t>
  </si>
  <si>
    <t>customer 23</t>
  </si>
  <si>
    <t>Sales Manager</t>
  </si>
  <si>
    <t>customer 24</t>
  </si>
  <si>
    <t>Store Manager</t>
  </si>
  <si>
    <t>customer 25</t>
  </si>
  <si>
    <t>Director Of Operations</t>
  </si>
  <si>
    <t>customer 26</t>
  </si>
  <si>
    <t>Maintenance (Handyman)</t>
  </si>
  <si>
    <t>customer 27</t>
  </si>
  <si>
    <t>customer 28</t>
  </si>
  <si>
    <t>Car Inspector</t>
  </si>
  <si>
    <t>customer 29</t>
  </si>
  <si>
    <t>Custodian</t>
  </si>
  <si>
    <t>customer 30</t>
  </si>
  <si>
    <t>Radiology Department Scheduler</t>
  </si>
  <si>
    <t>customer 31</t>
  </si>
  <si>
    <t xml:space="preserve">Manager </t>
  </si>
  <si>
    <t>customer 32</t>
  </si>
  <si>
    <t>Director</t>
  </si>
  <si>
    <t>customer 33</t>
  </si>
  <si>
    <t>customer 34</t>
  </si>
  <si>
    <t>Lobby Starter</t>
  </si>
  <si>
    <t>customer 35</t>
  </si>
  <si>
    <t>Laborer</t>
  </si>
  <si>
    <t>108xx</t>
  </si>
  <si>
    <t>customer 36</t>
  </si>
  <si>
    <t>General Manager</t>
  </si>
  <si>
    <t>customer 37</t>
  </si>
  <si>
    <t>Maintenance</t>
  </si>
  <si>
    <t>customer 38</t>
  </si>
  <si>
    <t>customer 39</t>
  </si>
  <si>
    <t>Operations Manager/ Designer</t>
  </si>
  <si>
    <t>customer 40</t>
  </si>
  <si>
    <t>Dental Hygiene</t>
  </si>
  <si>
    <t>customer 41</t>
  </si>
  <si>
    <t>Information Disclosure Analyst</t>
  </si>
  <si>
    <t>customer 42</t>
  </si>
  <si>
    <t xml:space="preserve">Waitress And Delivery </t>
  </si>
  <si>
    <t>customer 43</t>
  </si>
  <si>
    <t>Manager</t>
  </si>
  <si>
    <t>109xx</t>
  </si>
  <si>
    <t>customer 44</t>
  </si>
  <si>
    <t>Psychotherapist</t>
  </si>
  <si>
    <t>NE</t>
  </si>
  <si>
    <t>customer 45</t>
  </si>
  <si>
    <t>Admissions Coordinator</t>
  </si>
  <si>
    <t>customer 46</t>
  </si>
  <si>
    <t>Building Engineer</t>
  </si>
  <si>
    <t>customer 47</t>
  </si>
  <si>
    <t>Security</t>
  </si>
  <si>
    <t>customer 48</t>
  </si>
  <si>
    <t>Nurse</t>
  </si>
  <si>
    <t>customer 49</t>
  </si>
  <si>
    <t>customer 50</t>
  </si>
  <si>
    <t>Teacher</t>
  </si>
  <si>
    <t>customer 51</t>
  </si>
  <si>
    <t>Sales</t>
  </si>
  <si>
    <t>customer 52</t>
  </si>
  <si>
    <t>customer 53</t>
  </si>
  <si>
    <t>Construction Superintendent</t>
  </si>
  <si>
    <t>customer 54</t>
  </si>
  <si>
    <t>Account Services Manager</t>
  </si>
  <si>
    <t>customer 55</t>
  </si>
  <si>
    <t>Mechanical</t>
  </si>
  <si>
    <t>customer 56</t>
  </si>
  <si>
    <t>Case Manager</t>
  </si>
  <si>
    <t>customer 57</t>
  </si>
  <si>
    <t xml:space="preserve">Claims Adjuster </t>
  </si>
  <si>
    <t>customer 58</t>
  </si>
  <si>
    <t>Csr</t>
  </si>
  <si>
    <t>customer 59</t>
  </si>
  <si>
    <t>Application Developer</t>
  </si>
  <si>
    <t>customer 60</t>
  </si>
  <si>
    <t>customer 61</t>
  </si>
  <si>
    <t>National Client Space Manager</t>
  </si>
  <si>
    <t>customer 62</t>
  </si>
  <si>
    <t xml:space="preserve">School Psychologist </t>
  </si>
  <si>
    <t>customer 63</t>
  </si>
  <si>
    <t>customer 64</t>
  </si>
  <si>
    <t xml:space="preserve">Office Manager </t>
  </si>
  <si>
    <t>customer 65</t>
  </si>
  <si>
    <t>Personal Care Assissstant</t>
  </si>
  <si>
    <t>customer 66</t>
  </si>
  <si>
    <t>customer 67</t>
  </si>
  <si>
    <t>Kpmg</t>
  </si>
  <si>
    <t>customer 68</t>
  </si>
  <si>
    <t>Master Technician</t>
  </si>
  <si>
    <t>customer 69</t>
  </si>
  <si>
    <t xml:space="preserve">Police Officer </t>
  </si>
  <si>
    <t>customer 70</t>
  </si>
  <si>
    <t>It Manager</t>
  </si>
  <si>
    <t>customer 71</t>
  </si>
  <si>
    <t>customer 72</t>
  </si>
  <si>
    <t>Bank Vault Technician</t>
  </si>
  <si>
    <t>customer 73</t>
  </si>
  <si>
    <t>customer 74</t>
  </si>
  <si>
    <t>Senior Defined Benefit Specialist</t>
  </si>
  <si>
    <t>customer 75</t>
  </si>
  <si>
    <t>Vice President</t>
  </si>
  <si>
    <t>customer 76</t>
  </si>
  <si>
    <t>customer 77</t>
  </si>
  <si>
    <t>Mamager</t>
  </si>
  <si>
    <t>customer 78</t>
  </si>
  <si>
    <t>Dispatcher</t>
  </si>
  <si>
    <t>customer 79</t>
  </si>
  <si>
    <t>Assistant Director Of Houskeeping</t>
  </si>
  <si>
    <t>customer 80</t>
  </si>
  <si>
    <t>Field Tech</t>
  </si>
  <si>
    <t>customer 81</t>
  </si>
  <si>
    <t>Senior Accountant</t>
  </si>
  <si>
    <t>customer 82</t>
  </si>
  <si>
    <t>customer 83</t>
  </si>
  <si>
    <t>Professor</t>
  </si>
  <si>
    <t>customer 84</t>
  </si>
  <si>
    <t>Registeren Nurse</t>
  </si>
  <si>
    <t>customer 85</t>
  </si>
  <si>
    <t xml:space="preserve">Sales </t>
  </si>
  <si>
    <t>customer 86</t>
  </si>
  <si>
    <t>Physical Therapist Assistant</t>
  </si>
  <si>
    <t>110xx</t>
  </si>
  <si>
    <t>customer 87</t>
  </si>
  <si>
    <t>Principal</t>
  </si>
  <si>
    <t>customer 88</t>
  </si>
  <si>
    <t>Home Health Aide</t>
  </si>
  <si>
    <t>customer 89</t>
  </si>
  <si>
    <t>Preschool Director</t>
  </si>
  <si>
    <t>customer 90</t>
  </si>
  <si>
    <t xml:space="preserve">Sisu Home Entertainment </t>
  </si>
  <si>
    <t>customer 91</t>
  </si>
  <si>
    <t>It Program Mgr</t>
  </si>
  <si>
    <t>customer 92</t>
  </si>
  <si>
    <t>Front Desk Manager</t>
  </si>
  <si>
    <t>customer 93</t>
  </si>
  <si>
    <t>customer 94</t>
  </si>
  <si>
    <t>Dental Assistant</t>
  </si>
  <si>
    <t>customer 95</t>
  </si>
  <si>
    <t xml:space="preserve">Fork Lift Operator </t>
  </si>
  <si>
    <t>customer 96</t>
  </si>
  <si>
    <t>Director, Business Pmo</t>
  </si>
  <si>
    <t>customer 97</t>
  </si>
  <si>
    <t>Svp, Cloud Architecture</t>
  </si>
  <si>
    <t>customer 98</t>
  </si>
  <si>
    <t>Engineer</t>
  </si>
  <si>
    <t>customer 99</t>
  </si>
  <si>
    <t>customer 100</t>
  </si>
  <si>
    <t>customer 101</t>
  </si>
  <si>
    <t>Publisher</t>
  </si>
  <si>
    <t>111xx</t>
  </si>
  <si>
    <t>customer 102</t>
  </si>
  <si>
    <t>Evp, Executive Creative Director</t>
  </si>
  <si>
    <t>customer 103</t>
  </si>
  <si>
    <t>Sanitation Worker</t>
  </si>
  <si>
    <t>customer 104</t>
  </si>
  <si>
    <t>customer 105</t>
  </si>
  <si>
    <t>Network Release Supervisor</t>
  </si>
  <si>
    <t>customer 106</t>
  </si>
  <si>
    <t>Legal Assistant</t>
  </si>
  <si>
    <t>customer 107</t>
  </si>
  <si>
    <t>Mngr</t>
  </si>
  <si>
    <t>customer 108</t>
  </si>
  <si>
    <t>Activation Manager</t>
  </si>
  <si>
    <t>customer 109</t>
  </si>
  <si>
    <t>Team Lead</t>
  </si>
  <si>
    <t>customer 110</t>
  </si>
  <si>
    <t>Social Media Evaluator/Dog Walker</t>
  </si>
  <si>
    <t>customer 111</t>
  </si>
  <si>
    <t xml:space="preserve">Project Manager </t>
  </si>
  <si>
    <t>customer 112</t>
  </si>
  <si>
    <t>Care Coordinator</t>
  </si>
  <si>
    <t>customer 113</t>
  </si>
  <si>
    <t>Solutions Architect</t>
  </si>
  <si>
    <t>customer 114</t>
  </si>
  <si>
    <t>Doorman</t>
  </si>
  <si>
    <t>customer 115</t>
  </si>
  <si>
    <t>customer 116</t>
  </si>
  <si>
    <t>customer 117</t>
  </si>
  <si>
    <t>customer 118</t>
  </si>
  <si>
    <t>Korona Painting Corp</t>
  </si>
  <si>
    <t>customer 119</t>
  </si>
  <si>
    <t>Supply Chain Planner</t>
  </si>
  <si>
    <t>customer 120</t>
  </si>
  <si>
    <t>Asig</t>
  </si>
  <si>
    <t>customer 121</t>
  </si>
  <si>
    <t>C2 Imaging</t>
  </si>
  <si>
    <t>customer 122</t>
  </si>
  <si>
    <t>customer 123</t>
  </si>
  <si>
    <t xml:space="preserve">Executive Assistant </t>
  </si>
  <si>
    <t>customer 124</t>
  </si>
  <si>
    <t>customer 125</t>
  </si>
  <si>
    <t>Art Department Coordinator</t>
  </si>
  <si>
    <t>customer 126</t>
  </si>
  <si>
    <t>Residential Aide Manager</t>
  </si>
  <si>
    <t>customer 127</t>
  </si>
  <si>
    <t>customer 128</t>
  </si>
  <si>
    <t>Medical Technologist</t>
  </si>
  <si>
    <t>customer 129</t>
  </si>
  <si>
    <t>It Recruiter</t>
  </si>
  <si>
    <t>customer 130</t>
  </si>
  <si>
    <t>Lead Teller</t>
  </si>
  <si>
    <t>customer 131</t>
  </si>
  <si>
    <t>Business Owner</t>
  </si>
  <si>
    <t>customer 132</t>
  </si>
  <si>
    <t>customer 133</t>
  </si>
  <si>
    <t>Bartender/ Barback</t>
  </si>
  <si>
    <t>customer 134</t>
  </si>
  <si>
    <t>It Consulant</t>
  </si>
  <si>
    <t>customer 135</t>
  </si>
  <si>
    <t>Staff Auditor</t>
  </si>
  <si>
    <t>customer 136</t>
  </si>
  <si>
    <t>Transfer Agent</t>
  </si>
  <si>
    <t>customer 137</t>
  </si>
  <si>
    <t>Financial Advisor</t>
  </si>
  <si>
    <t>customer 138</t>
  </si>
  <si>
    <t>customer 139</t>
  </si>
  <si>
    <t>Admissions Representative</t>
  </si>
  <si>
    <t>customer 140</t>
  </si>
  <si>
    <t>Billing Specialist</t>
  </si>
  <si>
    <t>customer 141</t>
  </si>
  <si>
    <t>Handyman</t>
  </si>
  <si>
    <t>customer 142</t>
  </si>
  <si>
    <t>Petra Restaurant Group</t>
  </si>
  <si>
    <t>customer 143</t>
  </si>
  <si>
    <t>Home Health Attendant</t>
  </si>
  <si>
    <t>112xx</t>
  </si>
  <si>
    <t>customer 144</t>
  </si>
  <si>
    <t>Parking Attendant</t>
  </si>
  <si>
    <t>customer 145</t>
  </si>
  <si>
    <t>Maintenance Supervisor</t>
  </si>
  <si>
    <t>customer 146</t>
  </si>
  <si>
    <t>Teachers Assistant</t>
  </si>
  <si>
    <t>customer 147</t>
  </si>
  <si>
    <t xml:space="preserve">Superintendent </t>
  </si>
  <si>
    <t>customer 148</t>
  </si>
  <si>
    <t>Esthetician</t>
  </si>
  <si>
    <t>customer 149</t>
  </si>
  <si>
    <t>customer 150</t>
  </si>
  <si>
    <t>Personal Assistant</t>
  </si>
  <si>
    <t>customer 151</t>
  </si>
  <si>
    <t>Security Officer</t>
  </si>
  <si>
    <t>customer 152</t>
  </si>
  <si>
    <t>Food Runner</t>
  </si>
  <si>
    <t>customer 153</t>
  </si>
  <si>
    <t xml:space="preserve">Ceo Executive Assitant </t>
  </si>
  <si>
    <t>customer 154</t>
  </si>
  <si>
    <t>Literary Agent</t>
  </si>
  <si>
    <t>customer 155</t>
  </si>
  <si>
    <t>Deutsche Bank</t>
  </si>
  <si>
    <t>customer 156</t>
  </si>
  <si>
    <t>customer 157</t>
  </si>
  <si>
    <t>Associate Real Estate Broker</t>
  </si>
  <si>
    <t>customer 158</t>
  </si>
  <si>
    <t xml:space="preserve">Co-Manager </t>
  </si>
  <si>
    <t>customer 159</t>
  </si>
  <si>
    <t>Business Analyst</t>
  </si>
  <si>
    <t>customer 160</t>
  </si>
  <si>
    <t>customer 161</t>
  </si>
  <si>
    <t>Senior Publicist</t>
  </si>
  <si>
    <t>customer 162</t>
  </si>
  <si>
    <t>Mgr</t>
  </si>
  <si>
    <t>customer 163</t>
  </si>
  <si>
    <t>Delta Airlines</t>
  </si>
  <si>
    <t>customer 164</t>
  </si>
  <si>
    <t>Police Officer</t>
  </si>
  <si>
    <t>customer 165</t>
  </si>
  <si>
    <t>Specialty Rx Inc.</t>
  </si>
  <si>
    <t>customer 166</t>
  </si>
  <si>
    <t>Escort</t>
  </si>
  <si>
    <t>customer 167</t>
  </si>
  <si>
    <t xml:space="preserve">Administrative </t>
  </si>
  <si>
    <t>customer 168</t>
  </si>
  <si>
    <t xml:space="preserve">Sales Associate </t>
  </si>
  <si>
    <t>customer 169</t>
  </si>
  <si>
    <t>customer 170</t>
  </si>
  <si>
    <t>customer 171</t>
  </si>
  <si>
    <t>customer 172</t>
  </si>
  <si>
    <t>Carpenter</t>
  </si>
  <si>
    <t>customer 173</t>
  </si>
  <si>
    <t>Temp</t>
  </si>
  <si>
    <t>customer 174</t>
  </si>
  <si>
    <t>customer 175</t>
  </si>
  <si>
    <t>customer 176</t>
  </si>
  <si>
    <t>Field Supervisor</t>
  </si>
  <si>
    <t>customer 177</t>
  </si>
  <si>
    <t>Technical Designer</t>
  </si>
  <si>
    <t>customer 178</t>
  </si>
  <si>
    <t>Nursery Teacher</t>
  </si>
  <si>
    <t>customer 179</t>
  </si>
  <si>
    <t>Social Worker</t>
  </si>
  <si>
    <t>customer 180</t>
  </si>
  <si>
    <t>customer 181</t>
  </si>
  <si>
    <t xml:space="preserve">School Director </t>
  </si>
  <si>
    <t>customer 182</t>
  </si>
  <si>
    <t>customer 183</t>
  </si>
  <si>
    <t>Roofer</t>
  </si>
  <si>
    <t>customer 184</t>
  </si>
  <si>
    <t>customer 185</t>
  </si>
  <si>
    <t>Counselor And Trainer</t>
  </si>
  <si>
    <t>customer 186</t>
  </si>
  <si>
    <t>Clerical Associate</t>
  </si>
  <si>
    <t>customer 187</t>
  </si>
  <si>
    <t>Assistance Store Manager</t>
  </si>
  <si>
    <t>customer 188</t>
  </si>
  <si>
    <t>customer 189</t>
  </si>
  <si>
    <t>Pharmacist</t>
  </si>
  <si>
    <t>customer 190</t>
  </si>
  <si>
    <t>System Administrator</t>
  </si>
  <si>
    <t>customer 191</t>
  </si>
  <si>
    <t xml:space="preserve">Grocery </t>
  </si>
  <si>
    <t>customer 192</t>
  </si>
  <si>
    <t>Vendor Manager</t>
  </si>
  <si>
    <t>customer 193</t>
  </si>
  <si>
    <t>customer 194</t>
  </si>
  <si>
    <t>Automotive Bookkeeper</t>
  </si>
  <si>
    <t>customer 195</t>
  </si>
  <si>
    <t>Doorman/Porter</t>
  </si>
  <si>
    <t>customer 196</t>
  </si>
  <si>
    <t>Solution Specialist</t>
  </si>
  <si>
    <t>customer 197</t>
  </si>
  <si>
    <t>Front Desk Agent</t>
  </si>
  <si>
    <t>customer 198</t>
  </si>
  <si>
    <t>customer 199</t>
  </si>
  <si>
    <t>customer 200</t>
  </si>
  <si>
    <t>customer 201</t>
  </si>
  <si>
    <t>Financial Controller</t>
  </si>
  <si>
    <t>customer 202</t>
  </si>
  <si>
    <t xml:space="preserve">Community Assitant </t>
  </si>
  <si>
    <t>customer 203</t>
  </si>
  <si>
    <t>Physical Therapist</t>
  </si>
  <si>
    <t>customer 204</t>
  </si>
  <si>
    <t>customer 205</t>
  </si>
  <si>
    <t>Mr Shawn Robbins</t>
  </si>
  <si>
    <t>customer 206</t>
  </si>
  <si>
    <t>Counterman</t>
  </si>
  <si>
    <t>customer 207</t>
  </si>
  <si>
    <t>Staff Attorney</t>
  </si>
  <si>
    <t>customer 208</t>
  </si>
  <si>
    <t xml:space="preserve">School Cleaner </t>
  </si>
  <si>
    <t>customer 209</t>
  </si>
  <si>
    <t>customer 210</t>
  </si>
  <si>
    <t>customer 211</t>
  </si>
  <si>
    <t>Reporter</t>
  </si>
  <si>
    <t>customer 212</t>
  </si>
  <si>
    <t>Lead Care Manager</t>
  </si>
  <si>
    <t>customer 213</t>
  </si>
  <si>
    <t>Senior Director Of Strategy And Planning</t>
  </si>
  <si>
    <t>customer 214</t>
  </si>
  <si>
    <t>Bus Operator</t>
  </si>
  <si>
    <t>customer 215</t>
  </si>
  <si>
    <t>customer 216</t>
  </si>
  <si>
    <t>Senior Project Manager</t>
  </si>
  <si>
    <t>customer 217</t>
  </si>
  <si>
    <t>Super</t>
  </si>
  <si>
    <t>customer 218</t>
  </si>
  <si>
    <t>customer 219</t>
  </si>
  <si>
    <t>Teacher Assistant</t>
  </si>
  <si>
    <t>customer 220</t>
  </si>
  <si>
    <t>customer 221</t>
  </si>
  <si>
    <t xml:space="preserve">Store Manger </t>
  </si>
  <si>
    <t>customer 222</t>
  </si>
  <si>
    <t xml:space="preserve">Accounting </t>
  </si>
  <si>
    <t>customer 223</t>
  </si>
  <si>
    <t>customer 224</t>
  </si>
  <si>
    <t>customer 225</t>
  </si>
  <si>
    <t>Home Attendant</t>
  </si>
  <si>
    <t>customer 226</t>
  </si>
  <si>
    <t>customer 227</t>
  </si>
  <si>
    <t>481xx</t>
  </si>
  <si>
    <t>customer 228</t>
  </si>
  <si>
    <t xml:space="preserve">Lamination And Mounting Technician </t>
  </si>
  <si>
    <t>customer 229</t>
  </si>
  <si>
    <t>customer 230</t>
  </si>
  <si>
    <t>Billing Supervisor</t>
  </si>
  <si>
    <t>customer 231</t>
  </si>
  <si>
    <t>Security Guard</t>
  </si>
  <si>
    <t>customer 232</t>
  </si>
  <si>
    <t>Home Health Aid</t>
  </si>
  <si>
    <t>customer 233</t>
  </si>
  <si>
    <t>customer 234</t>
  </si>
  <si>
    <t>Conductor</t>
  </si>
  <si>
    <t>customer 235</t>
  </si>
  <si>
    <t>Administrative Assistant</t>
  </si>
  <si>
    <t>customer 236</t>
  </si>
  <si>
    <t>Safety Officer</t>
  </si>
  <si>
    <t>customer 237</t>
  </si>
  <si>
    <t>Homeattendant</t>
  </si>
  <si>
    <t>customer 238</t>
  </si>
  <si>
    <t>customer 239</t>
  </si>
  <si>
    <t>Bank Teller</t>
  </si>
  <si>
    <t>customer 240</t>
  </si>
  <si>
    <t>Front Desk Receptional</t>
  </si>
  <si>
    <t>customer 241</t>
  </si>
  <si>
    <t>Assistant Store Manager</t>
  </si>
  <si>
    <t>customer 242</t>
  </si>
  <si>
    <t>customer 243</t>
  </si>
  <si>
    <t>customer 244</t>
  </si>
  <si>
    <t>customer 245</t>
  </si>
  <si>
    <t>Associate Tech</t>
  </si>
  <si>
    <t>customer 246</t>
  </si>
  <si>
    <t>customer 247</t>
  </si>
  <si>
    <t xml:space="preserve">Construction Superintendent </t>
  </si>
  <si>
    <t>customer 248</t>
  </si>
  <si>
    <t>Associate</t>
  </si>
  <si>
    <t>customer 249</t>
  </si>
  <si>
    <t>customer 250</t>
  </si>
  <si>
    <t>Bookkeeper</t>
  </si>
  <si>
    <t>customer 251</t>
  </si>
  <si>
    <t>customer 252</t>
  </si>
  <si>
    <t xml:space="preserve">Optician </t>
  </si>
  <si>
    <t>customer 253</t>
  </si>
  <si>
    <t>Security Officer/Bank Supervisor</t>
  </si>
  <si>
    <t>customer 254</t>
  </si>
  <si>
    <t>Mechanic</t>
  </si>
  <si>
    <t>customer 255</t>
  </si>
  <si>
    <t>Practicepro Software Systems</t>
  </si>
  <si>
    <t>customer 256</t>
  </si>
  <si>
    <t>Dietary Aide</t>
  </si>
  <si>
    <t>customer 257</t>
  </si>
  <si>
    <t>Bus Driver</t>
  </si>
  <si>
    <t>customer 258</t>
  </si>
  <si>
    <t>Prizim Inc.</t>
  </si>
  <si>
    <t>customer 259</t>
  </si>
  <si>
    <t>Administrative Manager</t>
  </si>
  <si>
    <t>customer 260</t>
  </si>
  <si>
    <t>customer 261</t>
  </si>
  <si>
    <t>Hr Manager</t>
  </si>
  <si>
    <t>customer 262</t>
  </si>
  <si>
    <t>customer 263</t>
  </si>
  <si>
    <t>Executive</t>
  </si>
  <si>
    <t>customer 264</t>
  </si>
  <si>
    <t>Interactive Development Manager</t>
  </si>
  <si>
    <t>customer 265</t>
  </si>
  <si>
    <t>Radio Engineer</t>
  </si>
  <si>
    <t>customer 266</t>
  </si>
  <si>
    <t>Teltech Communications</t>
  </si>
  <si>
    <t>customer 267</t>
  </si>
  <si>
    <t>Investment Associate</t>
  </si>
  <si>
    <t>customer 268</t>
  </si>
  <si>
    <t>Owner</t>
  </si>
  <si>
    <t>customer 269</t>
  </si>
  <si>
    <t>Rn</t>
  </si>
  <si>
    <t>customer 270</t>
  </si>
  <si>
    <t xml:space="preserve">Patient Care Technician </t>
  </si>
  <si>
    <t>customer 271</t>
  </si>
  <si>
    <t>customer 272</t>
  </si>
  <si>
    <t xml:space="preserve">Station Cleaner </t>
  </si>
  <si>
    <t>customer 273</t>
  </si>
  <si>
    <t xml:space="preserve">X-Ray Technologist </t>
  </si>
  <si>
    <t>customer 274</t>
  </si>
  <si>
    <t>Visiting Nurse Service Of New York</t>
  </si>
  <si>
    <t>customer 275</t>
  </si>
  <si>
    <t>Cna/Hha</t>
  </si>
  <si>
    <t>customer 276</t>
  </si>
  <si>
    <t>Freelance Photographer</t>
  </si>
  <si>
    <t>customer 277</t>
  </si>
  <si>
    <t>customer 278</t>
  </si>
  <si>
    <t>Ceo</t>
  </si>
  <si>
    <t>customer 279</t>
  </si>
  <si>
    <t xml:space="preserve">School Bus </t>
  </si>
  <si>
    <t>customer 280</t>
  </si>
  <si>
    <t>Lpn</t>
  </si>
  <si>
    <t>customer 281</t>
  </si>
  <si>
    <t>customer 282</t>
  </si>
  <si>
    <t>customer 283</t>
  </si>
  <si>
    <t>customer 284</t>
  </si>
  <si>
    <t>Medical Biller</t>
  </si>
  <si>
    <t>customer 285</t>
  </si>
  <si>
    <t>Director Of Facility</t>
  </si>
  <si>
    <t>customer 286</t>
  </si>
  <si>
    <t>Furniture Maker</t>
  </si>
  <si>
    <t>customer 287</t>
  </si>
  <si>
    <t>Credential Associate</t>
  </si>
  <si>
    <t>customer 288</t>
  </si>
  <si>
    <t xml:space="preserve">Warehouse Manager </t>
  </si>
  <si>
    <t>customer 289</t>
  </si>
  <si>
    <t>Art Director</t>
  </si>
  <si>
    <t>customer 290</t>
  </si>
  <si>
    <t>Legal Secretary</t>
  </si>
  <si>
    <t>customer 291</t>
  </si>
  <si>
    <t>Register Nurse</t>
  </si>
  <si>
    <t>customer 292</t>
  </si>
  <si>
    <t>Offset Printing Operator</t>
  </si>
  <si>
    <t>customer 293</t>
  </si>
  <si>
    <t>customer 294</t>
  </si>
  <si>
    <t>customer 295</t>
  </si>
  <si>
    <t>Constructor</t>
  </si>
  <si>
    <t>customer 296</t>
  </si>
  <si>
    <t>customer 297</t>
  </si>
  <si>
    <t>Tiaa-Cref</t>
  </si>
  <si>
    <t>customer 298</t>
  </si>
  <si>
    <t>Certified Nursing Assistant</t>
  </si>
  <si>
    <t>customer 299</t>
  </si>
  <si>
    <t>customer 300</t>
  </si>
  <si>
    <t>customer 301</t>
  </si>
  <si>
    <t>Public Health Sanitarian</t>
  </si>
  <si>
    <t>customer 302</t>
  </si>
  <si>
    <t xml:space="preserve">Director </t>
  </si>
  <si>
    <t>customer 303</t>
  </si>
  <si>
    <t>Senior Tax Manager</t>
  </si>
  <si>
    <t>customer 304</t>
  </si>
  <si>
    <t>customer 305</t>
  </si>
  <si>
    <t>Court Officer</t>
  </si>
  <si>
    <t>customer 306</t>
  </si>
  <si>
    <t>customer 307</t>
  </si>
  <si>
    <t>Supervisor</t>
  </si>
  <si>
    <t>customer 308</t>
  </si>
  <si>
    <t xml:space="preserve">Special Education Preschool Teacher </t>
  </si>
  <si>
    <t>customer 309</t>
  </si>
  <si>
    <t>Analyst</t>
  </si>
  <si>
    <t>customer 310</t>
  </si>
  <si>
    <t>Information Technology Specilist</t>
  </si>
  <si>
    <t>customer 311</t>
  </si>
  <si>
    <t>Shift Supervisor</t>
  </si>
  <si>
    <t>customer 312</t>
  </si>
  <si>
    <t xml:space="preserve">Tax Preparer </t>
  </si>
  <si>
    <t>customer 313</t>
  </si>
  <si>
    <t>customer 314</t>
  </si>
  <si>
    <t>School Lunch Helper</t>
  </si>
  <si>
    <t>customer 315</t>
  </si>
  <si>
    <t>customer 316</t>
  </si>
  <si>
    <t>Service Manager</t>
  </si>
  <si>
    <t>customer 317</t>
  </si>
  <si>
    <t>Construction Laborer</t>
  </si>
  <si>
    <t>customer 318</t>
  </si>
  <si>
    <t>Team Assistant</t>
  </si>
  <si>
    <t>customer 319</t>
  </si>
  <si>
    <t>customer 320</t>
  </si>
  <si>
    <t>Coo</t>
  </si>
  <si>
    <t>customer 321</t>
  </si>
  <si>
    <t>Accounting Clerk</t>
  </si>
  <si>
    <t>customer 322</t>
  </si>
  <si>
    <t xml:space="preserve">Producer </t>
  </si>
  <si>
    <t>customer 323</t>
  </si>
  <si>
    <t>customer 324</t>
  </si>
  <si>
    <t>Svp, Group Account Director</t>
  </si>
  <si>
    <t>customer 325</t>
  </si>
  <si>
    <t>customer 326</t>
  </si>
  <si>
    <t>customer 327</t>
  </si>
  <si>
    <t>Station Manager</t>
  </si>
  <si>
    <t>customer 328</t>
  </si>
  <si>
    <t>customer 329</t>
  </si>
  <si>
    <t xml:space="preserve">Yoga Teacher </t>
  </si>
  <si>
    <t>customer 330</t>
  </si>
  <si>
    <t xml:space="preserve">Property Manager </t>
  </si>
  <si>
    <t>customer 331</t>
  </si>
  <si>
    <t>Counselor</t>
  </si>
  <si>
    <t>customer 332</t>
  </si>
  <si>
    <t xml:space="preserve">Administrative Assistant </t>
  </si>
  <si>
    <t>customer 333</t>
  </si>
  <si>
    <t>customer 334</t>
  </si>
  <si>
    <t>Co Sales Manager</t>
  </si>
  <si>
    <t>customer 335</t>
  </si>
  <si>
    <t>Chief Technology Officer</t>
  </si>
  <si>
    <t>customer 336</t>
  </si>
  <si>
    <t>customer 337</t>
  </si>
  <si>
    <t>customer 338</t>
  </si>
  <si>
    <t>customer 339</t>
  </si>
  <si>
    <t xml:space="preserve">Bus Operater </t>
  </si>
  <si>
    <t>customer 340</t>
  </si>
  <si>
    <t>Managing Partner</t>
  </si>
  <si>
    <t>customer 341</t>
  </si>
  <si>
    <t>customer 342</t>
  </si>
  <si>
    <t>Teller</t>
  </si>
  <si>
    <t>113xx</t>
  </si>
  <si>
    <t>customer 343</t>
  </si>
  <si>
    <t>customer 344</t>
  </si>
  <si>
    <t>Inventory Supervisor</t>
  </si>
  <si>
    <t>customer 345</t>
  </si>
  <si>
    <t>Elearning Specialist</t>
  </si>
  <si>
    <t>customer 346</t>
  </si>
  <si>
    <t>Admin Assistant</t>
  </si>
  <si>
    <t>customer 347</t>
  </si>
  <si>
    <t>Grand Hyatt New York</t>
  </si>
  <si>
    <t>customer 348</t>
  </si>
  <si>
    <t xml:space="preserve">Him Clerk </t>
  </si>
  <si>
    <t>customer 349</t>
  </si>
  <si>
    <t>customer 350</t>
  </si>
  <si>
    <t xml:space="preserve">Maintenance </t>
  </si>
  <si>
    <t>customer 351</t>
  </si>
  <si>
    <t xml:space="preserve">Customer Service </t>
  </si>
  <si>
    <t>customer 352</t>
  </si>
  <si>
    <t>Sws Of New York</t>
  </si>
  <si>
    <t>customer 353</t>
  </si>
  <si>
    <t>Communications Planner</t>
  </si>
  <si>
    <t>customer 354</t>
  </si>
  <si>
    <t>Home-Aid</t>
  </si>
  <si>
    <t>customer 355</t>
  </si>
  <si>
    <t>Chashier</t>
  </si>
  <si>
    <t>customer 356</t>
  </si>
  <si>
    <t>Program Director</t>
  </si>
  <si>
    <t>customer 357</t>
  </si>
  <si>
    <t>Customer Service</t>
  </si>
  <si>
    <t>customer 358</t>
  </si>
  <si>
    <t>Research Associate</t>
  </si>
  <si>
    <t>customer 359</t>
  </si>
  <si>
    <t>customer 360</t>
  </si>
  <si>
    <t>customer 361</t>
  </si>
  <si>
    <t>Registered Nurse</t>
  </si>
  <si>
    <t>customer 362</t>
  </si>
  <si>
    <t>Public Information Office Supervisor</t>
  </si>
  <si>
    <t>customer 363</t>
  </si>
  <si>
    <t>Project Manager</t>
  </si>
  <si>
    <t>customer 364</t>
  </si>
  <si>
    <t>Senior Project Accountant</t>
  </si>
  <si>
    <t>customer 365</t>
  </si>
  <si>
    <t>Fireman</t>
  </si>
  <si>
    <t>customer 366</t>
  </si>
  <si>
    <t>Road Driver</t>
  </si>
  <si>
    <t>customer 367</t>
  </si>
  <si>
    <t>Beth Israel Medical Center</t>
  </si>
  <si>
    <t>customer 368</t>
  </si>
  <si>
    <t>customer 369</t>
  </si>
  <si>
    <t>Area Manager</t>
  </si>
  <si>
    <t>customer 370</t>
  </si>
  <si>
    <t>Housekeeper</t>
  </si>
  <si>
    <t>customer 371</t>
  </si>
  <si>
    <t>customer 372</t>
  </si>
  <si>
    <t>Senior Administrative Aide</t>
  </si>
  <si>
    <t>customer 373</t>
  </si>
  <si>
    <t>customer 374</t>
  </si>
  <si>
    <t>customer 375</t>
  </si>
  <si>
    <t>Vp Merchandising</t>
  </si>
  <si>
    <t>customer 376</t>
  </si>
  <si>
    <t>customer 377</t>
  </si>
  <si>
    <t>Bakery Team Leader</t>
  </si>
  <si>
    <t>customer 378</t>
  </si>
  <si>
    <t>La Peninsula Head Start</t>
  </si>
  <si>
    <t>customer 379</t>
  </si>
  <si>
    <t>Head Of Security</t>
  </si>
  <si>
    <t>customer 380</t>
  </si>
  <si>
    <t>customer 381</t>
  </si>
  <si>
    <t>customer 382</t>
  </si>
  <si>
    <t>Any</t>
  </si>
  <si>
    <t>customer 383</t>
  </si>
  <si>
    <t>Mission Of Iraq To The Un</t>
  </si>
  <si>
    <t>customer 384</t>
  </si>
  <si>
    <t>customer 385</t>
  </si>
  <si>
    <t>Axis Point Alternative Solutions</t>
  </si>
  <si>
    <t>customer 386</t>
  </si>
  <si>
    <t>customer 387</t>
  </si>
  <si>
    <t>customer 388</t>
  </si>
  <si>
    <t>Executive Admin</t>
  </si>
  <si>
    <t>customer 389</t>
  </si>
  <si>
    <t>Trackworker</t>
  </si>
  <si>
    <t>customer 390</t>
  </si>
  <si>
    <t>customer 391</t>
  </si>
  <si>
    <t>Pharmacy Manager</t>
  </si>
  <si>
    <t>customer 392</t>
  </si>
  <si>
    <t>customer 393</t>
  </si>
  <si>
    <t>Annual_inc</t>
  </si>
  <si>
    <t>avg_cur_balance</t>
  </si>
  <si>
    <t>Tol_cur_bal</t>
  </si>
  <si>
    <t>customer _id</t>
  </si>
  <si>
    <t>Emp_title</t>
  </si>
  <si>
    <t>tot_cur_bal</t>
  </si>
  <si>
    <t>Sum of annual_inc</t>
  </si>
  <si>
    <t>Row Labels</t>
  </si>
  <si>
    <t>Grand Total</t>
  </si>
  <si>
    <t>(All)</t>
  </si>
  <si>
    <t>(blank)</t>
  </si>
  <si>
    <t>Sum of Tot_cur_bal</t>
  </si>
  <si>
    <t>Count of addr_state</t>
  </si>
  <si>
    <t>Count of home_ownership</t>
  </si>
  <si>
    <t>Home_ownership</t>
  </si>
  <si>
    <t>total_annual_inc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</si>
</sst>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3">
    <xf numFmtId="0" fontId="0" fillId="0" borderId="0" xfId="0"/>
    <xf numFmtId="0" fontId="0" fillId="33" borderId="10" xfId="0" applyFill="1" applyBorder="1"/>
    <xf numFmtId="0" fontId="0" fillId="34" borderId="10" xfId="0" applyFill="1" applyBorder="1"/>
    <xf numFmtId="0" fontId="0" fillId="33" borderId="10" xfId="0" applyFill="1" applyBorder="1" applyAlignment="1">
      <alignment horizontal="right"/>
    </xf>
    <xf numFmtId="0" fontId="0" fillId="34" borderId="10" xfId="0" applyFill="1" applyBorder="1" applyAlignment="1">
      <alignment horizontal="right"/>
    </xf>
    <xf numFmtId="0" fontId="0" fillId="0" borderId="0" xfId="0" applyAlignment="1">
      <alignment horizontal="right"/>
    </xf>
    <xf numFmtId="0" fontId="0" fillId="35" borderId="10" xfId="0" applyFill="1" applyBorder="1" applyAlignment="1">
      <alignment horizontal="right"/>
    </xf>
    <xf numFmtId="0" fontId="0" fillId="35" borderId="10" xfId="0" applyFill="1" applyBorder="1"/>
    <xf numFmtId="0" fontId="0" fillId="36" borderId="10" xfId="0" applyFill="1" applyBorder="1"/>
    <xf numFmtId="0" fontId="0" fillId="35" borderId="0" xfId="0" applyFill="1"/>
    <xf numFmtId="0" fontId="0" fillId="33" borderId="10" xfId="0" applyFill="1" applyBorder="1" applyAlignment="1">
      <alignment horizontal="center"/>
    </xf>
    <xf numFmtId="0" fontId="0" fillId="34" borderId="10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37" borderId="10" xfId="0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38" borderId="10" xfId="0" applyFill="1" applyBorder="1"/>
    <xf numFmtId="0" fontId="0" fillId="39" borderId="10" xfId="0" applyFill="1" applyBorder="1"/>
    <xf numFmtId="0" fontId="0" fillId="38" borderId="10" xfId="0" applyFill="1" applyBorder="1" applyAlignment="1">
      <alignment horizontal="right"/>
    </xf>
    <xf numFmtId="0" fontId="0" fillId="37" borderId="0" xfId="0" applyFill="1"/>
    <xf numFmtId="0" fontId="0" fillId="40" borderId="10" xfId="0" applyFill="1" applyBorder="1" applyAlignment="1">
      <alignment horizontal="center"/>
    </xf>
    <xf numFmtId="0" fontId="0" fillId="36" borderId="10" xfId="0" applyFill="1" applyBorder="1" applyAlignment="1">
      <alignment horizontal="center"/>
    </xf>
    <xf numFmtId="0" fontId="0" fillId="0" borderId="10" xfId="0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4536574075" createdVersion="8" refreshedVersion="8" minRefreshableVersion="3" recordCount="393" xr:uid="{832560DC-801B-4B8A-9528-159FA5DB5270}">
  <cacheSource type="worksheet">
    <worksheetSource ref="A1:J394" sheet="finance_customer"/>
  </cacheSource>
  <cacheFields count="11">
    <cacheField name="customer_id" numFmtId="0">
      <sharedItems/>
    </cacheField>
    <cacheField name="emp_title" numFmtId="0">
      <sharedItems/>
    </cacheField>
    <cacheField name="emp_length" numFmtId="0">
      <sharedItems/>
    </cacheField>
    <cacheField name="home_ownership" numFmtId="0">
      <sharedItems count="4">
        <s v="Rent"/>
        <s v="Mortgage"/>
        <s v="Own"/>
        <s v="Any"/>
      </sharedItems>
    </cacheField>
    <cacheField name="annual_inc" numFmtId="0">
      <sharedItems containsSemiMixedTypes="0" containsString="0" containsNumber="1" minValue="9000" maxValue="9300086"/>
    </cacheField>
    <cacheField name="annual_inc_joint" numFmtId="0">
      <sharedItems/>
    </cacheField>
    <cacheField name="verification_status" numFmtId="0">
      <sharedItems/>
    </cacheField>
    <cacheField name="zip_code" numFmtId="0">
      <sharedItems/>
    </cacheField>
    <cacheField name="addr_state" numFmtId="0">
      <sharedItems/>
    </cacheField>
    <cacheField name="avg_cur_bal" numFmtId="0">
      <sharedItems containsSemiMixedTypes="0" containsString="0" containsNumber="1" containsInteger="1" minValue="31" maxValue="93203"/>
    </cacheField>
    <cacheField name="Tot_cur_bal" numFmtId="0">
      <sharedItems containsSemiMixedTypes="0" containsString="0" containsNumber="1" containsInteger="1" minValue="125" maxValue="1015979" count="393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AHIM" refreshedDate="46168.476361111112" createdVersion="8" refreshedVersion="8" minRefreshableVersion="3" recordCount="394" xr:uid="{C1C5A1C8-1C18-4F20-87C0-18B7E999813E}">
  <cacheSource type="worksheet">
    <worksheetSource ref="A1:J395" sheet="finance_customer"/>
  </cacheSource>
  <cacheFields count="11">
    <cacheField name="customer_id" numFmtId="0">
      <sharedItems containsBlank="1"/>
    </cacheField>
    <cacheField name="emp_title" numFmtId="0">
      <sharedItems containsBlank="1" count="285">
        <s v="None"/>
        <s v="Branches Director"/>
        <s v="Purchasing Agent"/>
        <s v="Driver"/>
        <s v="Housing Specialist"/>
        <s v="Forman"/>
        <s v="Dietary Worker"/>
        <s v="Janovic Paint"/>
        <s v="Equipment Manager"/>
        <s v="Paraprofessional"/>
        <s v="Supervisor "/>
        <s v="Office Manager"/>
        <s v="President "/>
        <s v="Manager, Deployment Services"/>
        <s v="Controller"/>
        <s v="Corrections Officer"/>
        <s v="Sales Manager"/>
        <s v="Store Manager"/>
        <s v="Director Of Operations"/>
        <s v="Maintenance (Handyman)"/>
        <s v="Car Inspector"/>
        <s v="Custodian"/>
        <s v="Radiology Department Scheduler"/>
        <s v="Manager "/>
        <s v="Director"/>
        <s v="Lobby Starter"/>
        <s v="Laborer"/>
        <s v="General Manager"/>
        <s v="Maintenance"/>
        <s v="Operations Manager/ Designer"/>
        <s v="Dental Hygiene"/>
        <s v="Information Disclosure Analyst"/>
        <s v="Waitress And Delivery "/>
        <s v="Manager"/>
        <s v="Psychotherapist"/>
        <s v="Admissions Coordinator"/>
        <s v="Building Engineer"/>
        <s v="Security"/>
        <s v="Nurse"/>
        <s v="Teacher"/>
        <s v="Sales"/>
        <s v="Construction Superintendent"/>
        <s v="Account Services Manager"/>
        <s v="Mechanical"/>
        <s v="Case Manager"/>
        <s v="Claims Adjuster "/>
        <s v="Csr"/>
        <s v="Application Developer"/>
        <s v="National Client Space Manager"/>
        <s v="School Psychologist "/>
        <s v="Office Manager "/>
        <s v="Personal Care Assissstant"/>
        <s v="Kpmg"/>
        <s v="Master Technician"/>
        <s v="Police Officer "/>
        <s v="It Manager"/>
        <s v="Bank Vault Technician"/>
        <s v="Senior Defined Benefit Specialist"/>
        <s v="Vice President"/>
        <s v="Mamager"/>
        <s v="Dispatcher"/>
        <s v="Assistant Director Of Houskeeping"/>
        <s v="Field Tech"/>
        <s v="Senior Accountant"/>
        <s v="Professor"/>
        <s v="Registeren Nurse"/>
        <s v="Sales "/>
        <s v="Physical Therapist Assistant"/>
        <s v="Principal"/>
        <s v="Home Health Aide"/>
        <s v="Preschool Director"/>
        <s v="Sisu Home Entertainment "/>
        <s v="It Program Mgr"/>
        <s v="Front Desk Manager"/>
        <s v="Dental Assistant"/>
        <s v="Fork Lift Operator "/>
        <s v="Director, Business Pmo"/>
        <s v="Svp, Cloud Architecture"/>
        <s v="Engineer"/>
        <s v="Publisher"/>
        <s v="Evp, Executive Creative Director"/>
        <s v="Sanitation Worker"/>
        <s v="Network Release Supervisor"/>
        <s v="Legal Assistant"/>
        <s v="Mngr"/>
        <s v="Activation Manager"/>
        <s v="Team Lead"/>
        <s v="Social Media Evaluator/Dog Walker"/>
        <s v="Project Manager "/>
        <s v="Care Coordinator"/>
        <s v="Solutions Architect"/>
        <s v="Doorman"/>
        <s v="Korona Painting Corp"/>
        <s v="Supply Chain Planner"/>
        <s v="Asig"/>
        <s v="C2 Imaging"/>
        <s v="Executive Assistant "/>
        <s v="Art Department Coordinator"/>
        <s v="Residential Aide Manager"/>
        <s v="Medical Technologist"/>
        <s v="It Recruiter"/>
        <s v="Lead Teller"/>
        <s v="Business Owner"/>
        <s v="Bartender/ Barback"/>
        <s v="It Consulant"/>
        <s v="Staff Auditor"/>
        <s v="Transfer Agent"/>
        <s v="Financial Advisor"/>
        <s v="Admissions Representative"/>
        <s v="Billing Specialist"/>
        <s v="Handyman"/>
        <s v="Petra Restaurant Group"/>
        <s v="Home Health Attendant"/>
        <s v="Parking Attendant"/>
        <s v="Maintenance Supervisor"/>
        <s v="Teachers Assistant"/>
        <s v="Superintendent "/>
        <s v="Esthetician"/>
        <s v="Personal Assistant"/>
        <s v="Security Officer"/>
        <s v="Food Runner"/>
        <s v="Ceo Executive Assitant "/>
        <s v="Literary Agent"/>
        <s v="Deutsche Bank"/>
        <s v="Associate Real Estate Broker"/>
        <s v="Co-Manager "/>
        <s v="Business Analyst"/>
        <s v="Senior Publicist"/>
        <s v="Mgr"/>
        <s v="Delta Airlines"/>
        <s v="Police Officer"/>
        <s v="Specialty Rx Inc."/>
        <s v="Escort"/>
        <s v="Administrative "/>
        <s v="Sales Associate "/>
        <s v="Carpenter"/>
        <s v="Temp"/>
        <s v="Field Supervisor"/>
        <s v="Technical Designer"/>
        <s v="Nursery Teacher"/>
        <s v="Social Worker"/>
        <s v="School Director "/>
        <s v="Roofer"/>
        <s v="Counselor And Trainer"/>
        <s v="Clerical Associate"/>
        <s v="Assistance Store Manager"/>
        <s v="Pharmacist"/>
        <s v="System Administrator"/>
        <s v="Grocery "/>
        <s v="Vendor Manager"/>
        <s v="Automotive Bookkeeper"/>
        <s v="Doorman/Porter"/>
        <s v="Solution Specialist"/>
        <s v="Front Desk Agent"/>
        <s v="Financial Controller"/>
        <s v="Community Assitant "/>
        <s v="Physical Therapist"/>
        <s v="Mr Shawn Robbins"/>
        <s v="Counterman"/>
        <s v="Staff Attorney"/>
        <s v="School Cleaner "/>
        <s v="Reporter"/>
        <s v="Lead Care Manager"/>
        <s v="Senior Director Of Strategy And Planning"/>
        <s v="Bus Operator"/>
        <s v="Senior Project Manager"/>
        <s v="Super"/>
        <s v="Teacher Assistant"/>
        <s v="Store Manger "/>
        <s v="Accounting "/>
        <s v="Home Attendant"/>
        <s v="Lamination And Mounting Technician "/>
        <s v="Billing Supervisor"/>
        <s v="Security Guard"/>
        <s v="Home Health Aid"/>
        <s v="Conductor"/>
        <s v="Administrative Assistant"/>
        <s v="Safety Officer"/>
        <s v="Homeattendant"/>
        <s v="Bank Teller"/>
        <s v="Front Desk Receptional"/>
        <s v="Assistant Store Manager"/>
        <s v="Associate Tech"/>
        <s v="Construction Superintendent "/>
        <s v="Associate"/>
        <s v="Bookkeeper"/>
        <s v="Optician "/>
        <s v="Security Officer/Bank Supervisor"/>
        <s v="Mechanic"/>
        <s v="Practicepro Software Systems"/>
        <s v="Dietary Aide"/>
        <s v="Bus Driver"/>
        <s v="Prizim Inc."/>
        <s v="Administrative Manager"/>
        <s v="Hr Manager"/>
        <s v="Executive"/>
        <s v="Interactive Development Manager"/>
        <s v="Radio Engineer"/>
        <s v="Teltech Communications"/>
        <s v="Investment Associate"/>
        <s v="Owner"/>
        <s v="Rn"/>
        <s v="Patient Care Technician "/>
        <s v="Station Cleaner "/>
        <s v="X-Ray Technologist "/>
        <s v="Visiting Nurse Service Of New York"/>
        <s v="Cna/Hha"/>
        <s v="Freelance Photographer"/>
        <s v="Ceo"/>
        <s v="School Bus "/>
        <s v="Lpn"/>
        <s v="Medical Biller"/>
        <s v="Director Of Facility"/>
        <s v="Furniture Maker"/>
        <s v="Credential Associate"/>
        <s v="Warehouse Manager "/>
        <s v="Art Director"/>
        <s v="Legal Secretary"/>
        <s v="Register Nurse"/>
        <s v="Offset Printing Operator"/>
        <s v="Constructor"/>
        <s v="Tiaa-Cref"/>
        <s v="Certified Nursing Assistant"/>
        <s v="Public Health Sanitarian"/>
        <s v="Director "/>
        <s v="Senior Tax Manager"/>
        <s v="Court Officer"/>
        <s v="Supervisor"/>
        <s v="Special Education Preschool Teacher "/>
        <s v="Analyst"/>
        <s v="Information Technology Specilist"/>
        <s v="Shift Supervisor"/>
        <s v="Tax Preparer "/>
        <s v="School Lunch Helper"/>
        <s v="Service Manager"/>
        <s v="Construction Laborer"/>
        <s v="Team Assistant"/>
        <s v="Coo"/>
        <s v="Accounting Clerk"/>
        <s v="Producer "/>
        <s v="Svp, Group Account Director"/>
        <s v="Station Manager"/>
        <s v="Yoga Teacher "/>
        <s v="Property Manager "/>
        <s v="Counselor"/>
        <s v="Administrative Assistant "/>
        <s v="Co Sales Manager"/>
        <s v="Chief Technology Officer"/>
        <s v="Bus Operater "/>
        <s v="Managing Partner"/>
        <s v="Teller"/>
        <s v="Inventory Supervisor"/>
        <s v="Elearning Specialist"/>
        <s v="Admin Assistant"/>
        <s v="Grand Hyatt New York"/>
        <s v="Him Clerk "/>
        <s v="Maintenance "/>
        <s v="Customer Service "/>
        <s v="Sws Of New York"/>
        <s v="Communications Planner"/>
        <s v="Home-Aid"/>
        <s v="Chashier"/>
        <s v="Program Director"/>
        <s v="Customer Service"/>
        <s v="Research Associate"/>
        <s v="Registered Nurse"/>
        <s v="Public Information Office Supervisor"/>
        <s v="Project Manager"/>
        <s v="Senior Project Accountant"/>
        <s v="Fireman"/>
        <s v="Road Driver"/>
        <s v="Beth Israel Medical Center"/>
        <s v="Area Manager"/>
        <s v="Housekeeper"/>
        <s v="Senior Administrative Aide"/>
        <s v="Vp Merchandising"/>
        <s v="Bakery Team Leader"/>
        <s v="La Peninsula Head Start"/>
        <s v="Head Of Security"/>
        <s v="Mission Of Iraq To The Un"/>
        <s v="Axis Point Alternative Solutions"/>
        <s v="Executive Admin"/>
        <s v="Trackworker"/>
        <s v="Pharmacy Manager"/>
        <m/>
      </sharedItems>
    </cacheField>
    <cacheField name="emp_length" numFmtId="0">
      <sharedItems containsBlank="1"/>
    </cacheField>
    <cacheField name="home_ownership" numFmtId="0">
      <sharedItems containsBlank="1" count="5">
        <s v="Rent"/>
        <s v="Mortgage"/>
        <s v="Own"/>
        <s v="Any"/>
        <m/>
      </sharedItems>
    </cacheField>
    <cacheField name="annual_inc" numFmtId="0">
      <sharedItems containsSemiMixedTypes="0" containsString="0" containsNumber="1" minValue="9000" maxValue="38335069.949000001"/>
    </cacheField>
    <cacheField name="annual_inc_joint" numFmtId="0">
      <sharedItems containsMixedTypes="1" containsNumber="1" containsInteger="1" minValue="0" maxValue="0"/>
    </cacheField>
    <cacheField name="verification_status" numFmtId="0">
      <sharedItems containsBlank="1" count="4">
        <s v="Verified"/>
        <s v="Not Verified"/>
        <s v="Source Verified"/>
        <m/>
      </sharedItems>
    </cacheField>
    <cacheField name="zip_code" numFmtId="0">
      <sharedItems containsBlank="1" count="13">
        <s v="010xx"/>
        <s v="015xx"/>
        <s v="077xx"/>
        <s v="480xx"/>
        <s v="107xx"/>
        <s v="108xx"/>
        <s v="109xx"/>
        <s v="110xx"/>
        <s v="111xx"/>
        <s v="112xx"/>
        <s v="481xx"/>
        <s v="113xx"/>
        <m/>
      </sharedItems>
    </cacheField>
    <cacheField name="addr_state" numFmtId="0">
      <sharedItems containsBlank="1"/>
    </cacheField>
    <cacheField name="avg_cur_bal" numFmtId="0">
      <sharedItems containsSemiMixedTypes="0" containsString="0" containsNumber="1" containsInteger="1" minValue="31" maxValue="3202883"/>
    </cacheField>
    <cacheField name="Tot_cur_bal" numFmtId="0">
      <sharedItems containsSemiMixedTypes="0" containsString="0" containsNumber="1" containsInteger="1" minValue="125" maxValue="32568773" count="394">
        <n v="34322"/>
        <n v="150674"/>
        <n v="281735"/>
        <n v="379132"/>
        <n v="193292"/>
        <n v="31779"/>
        <n v="408091"/>
        <n v="24448"/>
        <n v="30491"/>
        <n v="5927"/>
        <n v="96087"/>
        <n v="40264"/>
        <n v="5714"/>
        <n v="16656"/>
        <n v="37575"/>
        <n v="142362"/>
        <n v="76641"/>
        <n v="69267"/>
        <n v="7013"/>
        <n v="28818"/>
        <n v="36059"/>
        <n v="382595"/>
        <n v="28413"/>
        <n v="40630"/>
        <n v="111366"/>
        <n v="28747"/>
        <n v="20751"/>
        <n v="204961"/>
        <n v="40001"/>
        <n v="8562"/>
        <n v="8189"/>
        <n v="134654"/>
        <n v="20389"/>
        <n v="335106"/>
        <n v="15673"/>
        <n v="20828"/>
        <n v="20021"/>
        <n v="71976"/>
        <n v="14107"/>
        <n v="251895"/>
        <n v="18082"/>
        <n v="21200"/>
        <n v="80289"/>
        <n v="230115"/>
        <n v="31172"/>
        <n v="229656"/>
        <n v="173923"/>
        <n v="39950"/>
        <n v="103172"/>
        <n v="386252"/>
        <n v="323115"/>
        <n v="30006"/>
        <n v="49537"/>
        <n v="203282"/>
        <n v="19731"/>
        <n v="29277"/>
        <n v="19340"/>
        <n v="448449"/>
        <n v="355619"/>
        <n v="105146"/>
        <n v="298017"/>
        <n v="144718"/>
        <n v="383838"/>
        <n v="39119"/>
        <n v="12299"/>
        <n v="21652"/>
        <n v="379401"/>
        <n v="27336"/>
        <n v="14054"/>
        <n v="10215"/>
        <n v="16663"/>
        <n v="23284"/>
        <n v="15922"/>
        <n v="355614"/>
        <n v="549498"/>
        <n v="308766"/>
        <n v="18632"/>
        <n v="6538"/>
        <n v="172937"/>
        <n v="74374"/>
        <n v="36593"/>
        <n v="16924"/>
        <n v="94249"/>
        <n v="150717"/>
        <n v="366256"/>
        <n v="17325"/>
        <n v="14445"/>
        <n v="5134"/>
        <n v="354700"/>
        <n v="17744"/>
        <n v="559430"/>
        <n v="32792"/>
        <n v="7733"/>
        <n v="28167"/>
        <n v="30802"/>
        <n v="25241"/>
        <n v="343514"/>
        <n v="101603"/>
        <n v="45026"/>
        <n v="675242"/>
        <n v="214342"/>
        <n v="38081"/>
        <n v="26249"/>
        <n v="235278"/>
        <n v="48329"/>
        <n v="43330"/>
        <n v="19860"/>
        <n v="23872"/>
        <n v="16566"/>
        <n v="23340"/>
        <n v="43428"/>
        <n v="8634"/>
        <n v="225198"/>
        <n v="14429"/>
        <n v="248087"/>
        <n v="48923"/>
        <n v="14692"/>
        <n v="42366"/>
        <n v="30213"/>
        <n v="21410"/>
        <n v="3914"/>
        <n v="176887"/>
        <n v="69061"/>
        <n v="11780"/>
        <n v="64932"/>
        <n v="52255"/>
        <n v="169257"/>
        <n v="13288"/>
        <n v="17147"/>
        <n v="16361"/>
        <n v="3757"/>
        <n v="8202"/>
        <n v="21474"/>
        <n v="54330"/>
        <n v="35838"/>
        <n v="6667"/>
        <n v="4261"/>
        <n v="37130"/>
        <n v="10003"/>
        <n v="23784"/>
        <n v="13881"/>
        <n v="1273"/>
        <n v="13408"/>
        <n v="17189"/>
        <n v="25439"/>
        <n v="9339"/>
        <n v="6680"/>
        <n v="3643"/>
        <n v="20881"/>
        <n v="34259"/>
        <n v="14666"/>
        <n v="33661"/>
        <n v="59604"/>
        <n v="420337"/>
        <n v="199941"/>
        <n v="23650"/>
        <n v="30011"/>
        <n v="43959"/>
        <n v="9273"/>
        <n v="29770"/>
        <n v="10210"/>
        <n v="56776"/>
        <n v="12120"/>
        <n v="16312"/>
        <n v="17403"/>
        <n v="22759"/>
        <n v="24721"/>
        <n v="11455"/>
        <n v="28784"/>
        <n v="8280"/>
        <n v="12298"/>
        <n v="10283"/>
        <n v="14406"/>
        <n v="125955"/>
        <n v="17385"/>
        <n v="11961"/>
        <n v="66897"/>
        <n v="149289"/>
        <n v="154452"/>
        <n v="22918"/>
        <n v="56938"/>
        <n v="44446"/>
        <n v="18472"/>
        <n v="17469"/>
        <n v="101756"/>
        <n v="40373"/>
        <n v="16834"/>
        <n v="447820"/>
        <n v="75646"/>
        <n v="38035"/>
        <n v="3305"/>
        <n v="1015979"/>
        <n v="88950"/>
        <n v="15697"/>
        <n v="42576"/>
        <n v="559220"/>
        <n v="13643"/>
        <n v="31985"/>
        <n v="132120"/>
        <n v="107419"/>
        <n v="54338"/>
        <n v="22766"/>
        <n v="106168"/>
        <n v="84322"/>
        <n v="126928"/>
        <n v="7911"/>
        <n v="237155"/>
        <n v="13704"/>
        <n v="169950"/>
        <n v="41876"/>
        <n v="54114"/>
        <n v="12772"/>
        <n v="20374"/>
        <n v="44276"/>
        <n v="202265"/>
        <n v="86888"/>
        <n v="5499"/>
        <n v="52306"/>
        <n v="41019"/>
        <n v="17997"/>
        <n v="73967"/>
        <n v="1025"/>
        <n v="47880"/>
        <n v="30278"/>
        <n v="10292"/>
        <n v="27624"/>
        <n v="31727"/>
        <n v="5925"/>
        <n v="27302"/>
        <n v="35653"/>
        <n v="11709"/>
        <n v="35130"/>
        <n v="8304"/>
        <n v="12683"/>
        <n v="41018"/>
        <n v="9648"/>
        <n v="12077"/>
        <n v="40760"/>
        <n v="24547"/>
        <n v="19553"/>
        <n v="14830"/>
        <n v="212423"/>
        <n v="93570"/>
        <n v="23626"/>
        <n v="31757"/>
        <n v="73570"/>
        <n v="45699"/>
        <n v="4574"/>
        <n v="13988"/>
        <n v="294858"/>
        <n v="15617"/>
        <n v="3770"/>
        <n v="614223"/>
        <n v="15883"/>
        <n v="7058"/>
        <n v="79658"/>
        <n v="45311"/>
        <n v="50320"/>
        <n v="24433"/>
        <n v="332926"/>
        <n v="8126"/>
        <n v="28920"/>
        <n v="6182"/>
        <n v="21569"/>
        <n v="621764"/>
        <n v="79181"/>
        <n v="138650"/>
        <n v="13165"/>
        <n v="44672"/>
        <n v="28388"/>
        <n v="6263"/>
        <n v="55756"/>
        <n v="38516"/>
        <n v="14945"/>
        <n v="13286"/>
        <n v="32575"/>
        <n v="26383"/>
        <n v="44536"/>
        <n v="3138"/>
        <n v="21670"/>
        <n v="125"/>
        <n v="427"/>
        <n v="57920"/>
        <n v="25441"/>
        <n v="67597"/>
        <n v="15577"/>
        <n v="835"/>
        <n v="27049"/>
        <n v="12708"/>
        <n v="71674"/>
        <n v="152627"/>
        <n v="52119"/>
        <n v="29542"/>
        <n v="191302"/>
        <n v="9765"/>
        <n v="80177"/>
        <n v="3737"/>
        <n v="26721"/>
        <n v="111979"/>
        <n v="70168"/>
        <n v="50230"/>
        <n v="13899"/>
        <n v="27518"/>
        <n v="134930"/>
        <n v="8147"/>
        <n v="18231"/>
        <n v="6040"/>
        <n v="26761"/>
        <n v="43449"/>
        <n v="439090"/>
        <n v="13521"/>
        <n v="10481"/>
        <n v="29423"/>
        <n v="10099"/>
        <n v="330513"/>
        <n v="20748"/>
        <n v="11424"/>
        <n v="142744"/>
        <n v="18796"/>
        <n v="17181"/>
        <n v="272053"/>
        <n v="39638"/>
        <n v="12487"/>
        <n v="442114"/>
        <n v="25348"/>
        <n v="169728"/>
        <n v="21783"/>
        <n v="334914"/>
        <n v="20046"/>
        <n v="119151"/>
        <n v="21130"/>
        <n v="21482"/>
        <n v="49925"/>
        <n v="34785"/>
        <n v="113227"/>
        <n v="25022"/>
        <n v="10569"/>
        <n v="11318"/>
        <n v="93602"/>
        <n v="56188"/>
        <n v="93963"/>
        <n v="18716"/>
        <n v="58737"/>
        <n v="34338"/>
        <n v="134982"/>
        <n v="7330"/>
        <n v="51298"/>
        <n v="11784"/>
        <n v="114182"/>
        <n v="24805"/>
        <n v="7332"/>
        <n v="70671"/>
        <n v="27823"/>
        <n v="3359"/>
        <n v="6954"/>
        <n v="17935"/>
        <n v="5193"/>
        <n v="56057"/>
        <n v="9769"/>
        <n v="10131"/>
        <n v="512387"/>
        <n v="35045"/>
        <n v="25548"/>
        <n v="33807"/>
        <n v="1855"/>
        <n v="11959"/>
        <n v="51972"/>
        <n v="21733"/>
        <n v="45641"/>
        <n v="48062"/>
        <n v="5442"/>
        <n v="11968"/>
        <n v="10294"/>
        <n v="178727"/>
        <n v="118282"/>
        <n v="162864"/>
        <n v="178933"/>
        <n v="4856"/>
        <n v="43946"/>
        <n v="24516"/>
        <n v="19143"/>
        <n v="170422"/>
        <n v="33801"/>
        <n v="38443"/>
        <n v="19641"/>
        <n v="96983"/>
        <n v="197004"/>
        <n v="10505"/>
        <n v="246805"/>
        <n v="189346"/>
        <n v="383200"/>
        <n v="22971"/>
        <n v="6375"/>
        <n v="32568773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3">
  <r>
    <s v="customer 1"/>
    <s v="None"/>
    <s v="none"/>
    <x v="0"/>
    <n v="25000"/>
    <s v="none"/>
    <s v="Verified"/>
    <s v="010xx"/>
    <s v="MA"/>
    <n v="6864"/>
    <x v="0"/>
  </r>
  <r>
    <s v="customer 2"/>
    <s v="None"/>
    <s v="none"/>
    <x v="1"/>
    <n v="185000"/>
    <s v="none"/>
    <s v="Not Verified"/>
    <s v="010xx"/>
    <s v="MA"/>
    <n v="7930"/>
    <x v="1"/>
  </r>
  <r>
    <s v="customer 3"/>
    <s v="None"/>
    <s v="none"/>
    <x v="1"/>
    <n v="120000"/>
    <s v="none"/>
    <s v="Source Verified"/>
    <s v="015xx"/>
    <s v="MA"/>
    <n v="15652"/>
    <x v="2"/>
  </r>
  <r>
    <s v="customer 4"/>
    <s v="None"/>
    <s v="none"/>
    <x v="1"/>
    <n v="75000"/>
    <s v="none"/>
    <s v="Verified"/>
    <s v="077xx"/>
    <s v="NJ"/>
    <n v="14042"/>
    <x v="3"/>
  </r>
  <r>
    <s v="customer 5"/>
    <s v="None"/>
    <s v="none"/>
    <x v="1"/>
    <n v="36000"/>
    <s v="none"/>
    <s v="Source Verified"/>
    <s v="480xx"/>
    <s v="MI"/>
    <n v="21477"/>
    <x v="4"/>
  </r>
  <r>
    <s v="customer 6"/>
    <s v="Branches Director"/>
    <s v="5 years"/>
    <x v="2"/>
    <n v="125000"/>
    <s v="none"/>
    <s v="Verified"/>
    <s v="107xx"/>
    <s v="NY"/>
    <n v="3531"/>
    <x v="5"/>
  </r>
  <r>
    <s v="customer 7"/>
    <s v="Purchasing Agent"/>
    <s v="5 years"/>
    <x v="1"/>
    <n v="84000"/>
    <s v="none"/>
    <s v="Verified"/>
    <s v="107xx"/>
    <s v="NY"/>
    <n v="40809"/>
    <x v="6"/>
  </r>
  <r>
    <s v="customer 8"/>
    <s v="Driver"/>
    <s v="5 years"/>
    <x v="0"/>
    <n v="27000"/>
    <s v="none"/>
    <s v="Verified"/>
    <s v="107xx"/>
    <s v="NY"/>
    <n v="2445"/>
    <x v="7"/>
  </r>
  <r>
    <s v="customer 9"/>
    <s v="Housing Specialist"/>
    <s v="5 years"/>
    <x v="0"/>
    <n v="52500"/>
    <s v="none"/>
    <s v="Verified"/>
    <s v="107xx"/>
    <s v="NY"/>
    <n v="2541"/>
    <x v="8"/>
  </r>
  <r>
    <s v="customer 10"/>
    <s v="Forman"/>
    <s v="5 years"/>
    <x v="0"/>
    <n v="65000"/>
    <s v="none"/>
    <s v="Not Verified"/>
    <s v="107xx"/>
    <s v="NY"/>
    <n v="1976"/>
    <x v="9"/>
  </r>
  <r>
    <s v="customer 11"/>
    <s v="Dietary Worker"/>
    <s v="5 years"/>
    <x v="2"/>
    <n v="42000"/>
    <s v="none"/>
    <s v="Verified"/>
    <s v="107xx"/>
    <s v="NY"/>
    <n v="5057"/>
    <x v="10"/>
  </r>
  <r>
    <s v="customer 12"/>
    <s v="Janovic Paint"/>
    <s v="5 years"/>
    <x v="0"/>
    <n v="78000"/>
    <s v="none"/>
    <s v="Not Verified"/>
    <s v="107xx"/>
    <s v="NY"/>
    <n v="2368"/>
    <x v="11"/>
  </r>
  <r>
    <s v="customer 13"/>
    <s v="Equipment Manager"/>
    <s v="5 years"/>
    <x v="1"/>
    <n v="72000"/>
    <s v="none"/>
    <s v="Not Verified"/>
    <s v="107xx"/>
    <s v="NY"/>
    <n v="635"/>
    <x v="12"/>
  </r>
  <r>
    <s v="customer 14"/>
    <s v="Paraprofessional"/>
    <s v="5 years"/>
    <x v="0"/>
    <n v="28000"/>
    <s v="none"/>
    <s v="Not Verified"/>
    <s v="107xx"/>
    <s v="NY"/>
    <n v="1388"/>
    <x v="13"/>
  </r>
  <r>
    <s v="customer 15"/>
    <s v="Supervisor "/>
    <s v="5 years"/>
    <x v="0"/>
    <n v="62000"/>
    <s v="none"/>
    <s v="Source Verified"/>
    <s v="107xx"/>
    <s v="NY"/>
    <n v="2890"/>
    <x v="14"/>
  </r>
  <r>
    <s v="customer 16"/>
    <s v="None"/>
    <s v="none"/>
    <x v="1"/>
    <n v="43200"/>
    <s v="none"/>
    <s v="Verified"/>
    <s v="480xx"/>
    <s v="MI"/>
    <n v="23727"/>
    <x v="15"/>
  </r>
  <r>
    <s v="customer 17"/>
    <s v="Office Manager"/>
    <s v="5 years"/>
    <x v="0"/>
    <n v="60000"/>
    <s v="none"/>
    <s v="Not Verified"/>
    <s v="107xx"/>
    <s v="NY"/>
    <n v="5474"/>
    <x v="16"/>
  </r>
  <r>
    <s v="customer 18"/>
    <s v="President "/>
    <s v="5 years"/>
    <x v="2"/>
    <n v="120000"/>
    <s v="none"/>
    <s v="Not Verified"/>
    <s v="107xx"/>
    <s v="NY"/>
    <n v="6927"/>
    <x v="17"/>
  </r>
  <r>
    <s v="customer 19"/>
    <s v="Manager, Deployment Services"/>
    <s v="5 years"/>
    <x v="1"/>
    <n v="67500"/>
    <s v="none"/>
    <s v="Not Verified"/>
    <s v="107xx"/>
    <s v="NY"/>
    <n v="1002"/>
    <x v="18"/>
  </r>
  <r>
    <s v="customer 20"/>
    <s v="Office Manager"/>
    <s v="5 years"/>
    <x v="0"/>
    <n v="30000"/>
    <s v="none"/>
    <s v="Source Verified"/>
    <s v="107xx"/>
    <s v="NY"/>
    <n v="1441"/>
    <x v="19"/>
  </r>
  <r>
    <s v="customer 21"/>
    <s v="Controller"/>
    <s v="5 years"/>
    <x v="0"/>
    <n v="121500"/>
    <s v="none"/>
    <s v="Not Verified"/>
    <s v="107xx"/>
    <s v="NY"/>
    <n v="2576"/>
    <x v="20"/>
  </r>
  <r>
    <s v="customer 22"/>
    <s v="Corrections Officer"/>
    <s v="5 years"/>
    <x v="1"/>
    <n v="74000"/>
    <s v="none"/>
    <s v="Verified"/>
    <s v="107xx"/>
    <s v="NY"/>
    <n v="47824"/>
    <x v="21"/>
  </r>
  <r>
    <s v="customer 23"/>
    <s v="Sales Manager"/>
    <s v="5 years"/>
    <x v="0"/>
    <n v="70000"/>
    <s v="none"/>
    <s v="Source Verified"/>
    <s v="107xx"/>
    <s v="NY"/>
    <n v="2583"/>
    <x v="22"/>
  </r>
  <r>
    <s v="customer 24"/>
    <s v="Store Manager"/>
    <s v="5 years"/>
    <x v="0"/>
    <n v="75000"/>
    <s v="none"/>
    <s v="Source Verified"/>
    <s v="107xx"/>
    <s v="NY"/>
    <n v="3125"/>
    <x v="23"/>
  </r>
  <r>
    <s v="customer 25"/>
    <s v="Director Of Operations"/>
    <s v="5 years"/>
    <x v="0"/>
    <n v="65000"/>
    <s v="none"/>
    <s v="Source Verified"/>
    <s v="107xx"/>
    <s v="NY"/>
    <n v="5861"/>
    <x v="24"/>
  </r>
  <r>
    <s v="customer 26"/>
    <s v="Maintenance (Handyman)"/>
    <s v="5 years"/>
    <x v="2"/>
    <n v="50000"/>
    <s v="none"/>
    <s v="Not Verified"/>
    <s v="107xx"/>
    <s v="NY"/>
    <n v="4791"/>
    <x v="25"/>
  </r>
  <r>
    <s v="customer 27"/>
    <s v="None"/>
    <s v="none"/>
    <x v="0"/>
    <n v="26412"/>
    <s v="none"/>
    <s v="Verified"/>
    <s v="480xx"/>
    <s v="MI"/>
    <n v="1297"/>
    <x v="26"/>
  </r>
  <r>
    <s v="customer 28"/>
    <s v="Car Inspector"/>
    <s v="5 years"/>
    <x v="0"/>
    <n v="110000"/>
    <s v="none"/>
    <s v="Source Verified"/>
    <s v="107xx"/>
    <s v="NY"/>
    <n v="10787"/>
    <x v="27"/>
  </r>
  <r>
    <s v="customer 29"/>
    <s v="Custodian"/>
    <s v="5 years"/>
    <x v="0"/>
    <n v="65000"/>
    <s v="none"/>
    <s v="Verified"/>
    <s v="107xx"/>
    <s v="NY"/>
    <n v="5000"/>
    <x v="28"/>
  </r>
  <r>
    <s v="customer 30"/>
    <s v="Radiology Department Scheduler"/>
    <s v="5 years"/>
    <x v="0"/>
    <n v="40000"/>
    <s v="none"/>
    <s v="Source Verified"/>
    <s v="107xx"/>
    <s v="NY"/>
    <n v="2141"/>
    <x v="29"/>
  </r>
  <r>
    <s v="customer 31"/>
    <s v="Manager "/>
    <s v="5 years"/>
    <x v="1"/>
    <n v="50000"/>
    <s v="none"/>
    <s v="Verified"/>
    <s v="107xx"/>
    <s v="NY"/>
    <n v="4095"/>
    <x v="30"/>
  </r>
  <r>
    <s v="customer 32"/>
    <s v="Director"/>
    <s v="5 years"/>
    <x v="1"/>
    <n v="200000"/>
    <s v="none"/>
    <s v="Not Verified"/>
    <s v="107xx"/>
    <s v="NY"/>
    <n v="9618"/>
    <x v="31"/>
  </r>
  <r>
    <s v="customer 33"/>
    <s v="Office Manager"/>
    <s v="5 years"/>
    <x v="0"/>
    <n v="45000"/>
    <s v="none"/>
    <s v="Source Verified"/>
    <s v="107xx"/>
    <s v="NY"/>
    <n v="3398"/>
    <x v="32"/>
  </r>
  <r>
    <s v="customer 34"/>
    <s v="Lobby Starter"/>
    <s v="5 years"/>
    <x v="2"/>
    <n v="75000"/>
    <s v="none"/>
    <s v="Verified"/>
    <s v="107xx"/>
    <s v="NY"/>
    <n v="41888"/>
    <x v="33"/>
  </r>
  <r>
    <s v="customer 35"/>
    <s v="Laborer"/>
    <s v="5 years"/>
    <x v="0"/>
    <n v="75000"/>
    <s v="none"/>
    <s v="Source Verified"/>
    <s v="108xx"/>
    <s v="NY"/>
    <n v="1741"/>
    <x v="34"/>
  </r>
  <r>
    <s v="customer 36"/>
    <s v="General Manager"/>
    <s v="5 years"/>
    <x v="0"/>
    <n v="105000"/>
    <s v="none"/>
    <s v="Source Verified"/>
    <s v="108xx"/>
    <s v="NY"/>
    <n v="2975"/>
    <x v="35"/>
  </r>
  <r>
    <s v="customer 37"/>
    <s v="Maintenance"/>
    <s v="5 years"/>
    <x v="0"/>
    <n v="52000"/>
    <s v="none"/>
    <s v="Source Verified"/>
    <s v="108xx"/>
    <s v="NY"/>
    <n v="3337"/>
    <x v="36"/>
  </r>
  <r>
    <s v="customer 38"/>
    <s v="None"/>
    <s v="none"/>
    <x v="1"/>
    <n v="9000"/>
    <s v="3nonenonenonenone"/>
    <s v="Verified"/>
    <s v="480xx"/>
    <s v="MI"/>
    <n v="11996"/>
    <x v="37"/>
  </r>
  <r>
    <s v="customer 39"/>
    <s v="Operations Manager/ Designer"/>
    <s v="5 years"/>
    <x v="0"/>
    <n v="90000"/>
    <s v="none"/>
    <s v="Not Verified"/>
    <s v="108xx"/>
    <s v="NY"/>
    <n v="1763"/>
    <x v="38"/>
  </r>
  <r>
    <s v="customer 40"/>
    <s v="Dental Hygiene"/>
    <s v="5 years"/>
    <x v="0"/>
    <n v="96000"/>
    <s v="none"/>
    <s v="Not Verified"/>
    <s v="108xx"/>
    <s v="NY"/>
    <n v="41983"/>
    <x v="39"/>
  </r>
  <r>
    <s v="customer 41"/>
    <s v="Information Disclosure Analyst"/>
    <s v="5 years"/>
    <x v="0"/>
    <n v="58214"/>
    <s v="none"/>
    <s v="Source Verified"/>
    <s v="108xx"/>
    <s v="NY"/>
    <n v="2009"/>
    <x v="40"/>
  </r>
  <r>
    <s v="customer 42"/>
    <s v="Waitress And Delivery "/>
    <s v="5 years"/>
    <x v="0"/>
    <n v="66000"/>
    <s v="none"/>
    <s v="Not Verified"/>
    <s v="108xx"/>
    <s v="NY"/>
    <n v="1767"/>
    <x v="41"/>
  </r>
  <r>
    <s v="customer 43"/>
    <s v="Manager"/>
    <s v="5 years"/>
    <x v="2"/>
    <n v="45000"/>
    <s v="none"/>
    <s v="Source Verified"/>
    <s v="109xx"/>
    <s v="NY"/>
    <n v="4226"/>
    <x v="42"/>
  </r>
  <r>
    <s v="customer 44"/>
    <s v="Psychotherapist"/>
    <s v="5 years"/>
    <x v="1"/>
    <n v="55000"/>
    <s v="none"/>
    <s v="Not Verified"/>
    <s v="109xx"/>
    <s v="NE"/>
    <n v="28764"/>
    <x v="43"/>
  </r>
  <r>
    <s v="customer 45"/>
    <s v="Admissions Coordinator"/>
    <s v="5 years"/>
    <x v="0"/>
    <n v="50000"/>
    <s v="none"/>
    <s v="Verified"/>
    <s v="109xx"/>
    <s v="NY"/>
    <n v="2227"/>
    <x v="44"/>
  </r>
  <r>
    <s v="customer 46"/>
    <s v="Building Engineer"/>
    <s v="5 years"/>
    <x v="1"/>
    <n v="80000"/>
    <s v="none"/>
    <s v="Source Verified"/>
    <s v="109xx"/>
    <s v="NY"/>
    <n v="25517"/>
    <x v="45"/>
  </r>
  <r>
    <s v="customer 47"/>
    <s v="Security"/>
    <s v="5 years"/>
    <x v="1"/>
    <n v="86469"/>
    <s v="none"/>
    <s v="Not Verified"/>
    <s v="109xx"/>
    <s v="NY"/>
    <n v="24846"/>
    <x v="46"/>
  </r>
  <r>
    <s v="customer 48"/>
    <s v="Nurse"/>
    <s v="5 years"/>
    <x v="0"/>
    <n v="65000"/>
    <s v="none"/>
    <s v="Source Verified"/>
    <s v="109xx"/>
    <s v="NY"/>
    <n v="1737"/>
    <x v="47"/>
  </r>
  <r>
    <s v="customer 49"/>
    <s v="None"/>
    <s v="none"/>
    <x v="1"/>
    <n v="65000"/>
    <s v="none"/>
    <s v="Not Verified"/>
    <s v="480xx"/>
    <s v="MI"/>
    <n v="9379"/>
    <x v="48"/>
  </r>
  <r>
    <s v="customer 50"/>
    <s v="Teacher"/>
    <s v="5 years"/>
    <x v="1"/>
    <n v="90000"/>
    <s v="23nonenonenonenone"/>
    <s v="Not Verified"/>
    <s v="109xx"/>
    <s v="NY"/>
    <n v="48282"/>
    <x v="49"/>
  </r>
  <r>
    <s v="customer 51"/>
    <s v="Sales"/>
    <s v="5 years"/>
    <x v="1"/>
    <n v="175000"/>
    <s v="none"/>
    <s v="Verified"/>
    <s v="109xx"/>
    <s v="NY"/>
    <n v="8503"/>
    <x v="50"/>
  </r>
  <r>
    <s v="customer 52"/>
    <s v="Office Manager"/>
    <s v="5 years"/>
    <x v="0"/>
    <n v="60000"/>
    <s v="none"/>
    <s v="Source Verified"/>
    <s v="109xx"/>
    <s v="NY"/>
    <n v="3334"/>
    <x v="51"/>
  </r>
  <r>
    <s v="customer 53"/>
    <s v="Construction Superintendent"/>
    <s v="5 years"/>
    <x v="0"/>
    <n v="161000"/>
    <s v="none"/>
    <s v="Source Verified"/>
    <s v="109xx"/>
    <s v="NY"/>
    <n v="3538"/>
    <x v="52"/>
  </r>
  <r>
    <s v="customer 54"/>
    <s v="Account Services Manager"/>
    <s v="5 years"/>
    <x v="2"/>
    <n v="85000"/>
    <s v="none"/>
    <s v="Source Verified"/>
    <s v="109xx"/>
    <s v="NY"/>
    <n v="6776"/>
    <x v="53"/>
  </r>
  <r>
    <s v="customer 55"/>
    <s v="Mechanical"/>
    <s v="5 years"/>
    <x v="0"/>
    <n v="49000"/>
    <s v="none"/>
    <s v="Source Verified"/>
    <s v="109xx"/>
    <s v="NY"/>
    <n v="2192"/>
    <x v="54"/>
  </r>
  <r>
    <s v="customer 56"/>
    <s v="Case Manager"/>
    <s v="5 years"/>
    <x v="0"/>
    <n v="70000"/>
    <s v="none"/>
    <s v="Source Verified"/>
    <s v="109xx"/>
    <s v="NY"/>
    <n v="3660"/>
    <x v="55"/>
  </r>
  <r>
    <s v="customer 57"/>
    <s v="Claims Adjuster "/>
    <s v="5 years"/>
    <x v="0"/>
    <n v="38000"/>
    <s v="none"/>
    <s v="Not Verified"/>
    <s v="109xx"/>
    <s v="NY"/>
    <n v="1381"/>
    <x v="56"/>
  </r>
  <r>
    <s v="customer 58"/>
    <s v="Csr"/>
    <s v="5 years"/>
    <x v="1"/>
    <n v="65000"/>
    <s v="none"/>
    <s v="Not Verified"/>
    <s v="109xx"/>
    <s v="NY"/>
    <n v="20384"/>
    <x v="57"/>
  </r>
  <r>
    <s v="customer 59"/>
    <s v="Application Developer"/>
    <s v="5 years"/>
    <x v="1"/>
    <n v="135000"/>
    <s v="none"/>
    <s v="Not Verified"/>
    <s v="109xx"/>
    <s v="NY"/>
    <n v="35562"/>
    <x v="58"/>
  </r>
  <r>
    <s v="customer 60"/>
    <s v="None"/>
    <s v="none"/>
    <x v="1"/>
    <n v="52800"/>
    <s v="none"/>
    <s v="Verified"/>
    <s v="480xx"/>
    <s v="MI"/>
    <n v="21029"/>
    <x v="59"/>
  </r>
  <r>
    <s v="customer 61"/>
    <s v="National Client Space Manager"/>
    <s v="5 years"/>
    <x v="1"/>
    <n v="86000"/>
    <s v="none"/>
    <s v="Source Verified"/>
    <s v="109xx"/>
    <s v="NY"/>
    <n v="19868"/>
    <x v="60"/>
  </r>
  <r>
    <s v="customer 62"/>
    <s v="School Psychologist "/>
    <s v="5 years"/>
    <x v="0"/>
    <n v="90000"/>
    <s v="none"/>
    <s v="Verified"/>
    <s v="109xx"/>
    <s v="NY"/>
    <n v="11132"/>
    <x v="61"/>
  </r>
  <r>
    <s v="customer 63"/>
    <s v="Teacher"/>
    <s v="5 years"/>
    <x v="1"/>
    <n v="96000"/>
    <s v="none"/>
    <s v="Not Verified"/>
    <s v="109xx"/>
    <s v="NY"/>
    <n v="54834"/>
    <x v="62"/>
  </r>
  <r>
    <s v="customer 64"/>
    <s v="Office Manager "/>
    <s v="5 years"/>
    <x v="0"/>
    <n v="54000"/>
    <s v="none"/>
    <s v="Source Verified"/>
    <s v="109xx"/>
    <s v="NY"/>
    <n v="4347"/>
    <x v="63"/>
  </r>
  <r>
    <s v="customer 65"/>
    <s v="Personal Care Assissstant"/>
    <s v="5 years"/>
    <x v="0"/>
    <n v="25000"/>
    <s v="none"/>
    <s v="Not Verified"/>
    <s v="109xx"/>
    <s v="NY"/>
    <n v="1118"/>
    <x v="64"/>
  </r>
  <r>
    <s v="customer 66"/>
    <s v="General Manager"/>
    <s v="5 years"/>
    <x v="1"/>
    <n v="90000"/>
    <s v="none"/>
    <s v="Not Verified"/>
    <s v="109xx"/>
    <s v="NY"/>
    <n v="2707"/>
    <x v="65"/>
  </r>
  <r>
    <s v="customer 67"/>
    <s v="Kpmg"/>
    <s v="5 years"/>
    <x v="1"/>
    <n v="118700"/>
    <s v="none"/>
    <s v="Source Verified"/>
    <s v="109xx"/>
    <s v="NY"/>
    <n v="63234"/>
    <x v="66"/>
  </r>
  <r>
    <s v="customer 68"/>
    <s v="Master Technician"/>
    <s v="5 years"/>
    <x v="2"/>
    <n v="60000"/>
    <s v="none"/>
    <s v="Not Verified"/>
    <s v="109xx"/>
    <s v="NY"/>
    <n v="5467"/>
    <x v="67"/>
  </r>
  <r>
    <s v="customer 69"/>
    <s v="Police Officer "/>
    <s v="5 years"/>
    <x v="0"/>
    <n v="68000"/>
    <s v="none"/>
    <s v="Source Verified"/>
    <s v="109xx"/>
    <s v="NY"/>
    <n v="1405"/>
    <x v="68"/>
  </r>
  <r>
    <s v="customer 70"/>
    <s v="It Manager"/>
    <s v="5 years"/>
    <x v="0"/>
    <n v="82000"/>
    <s v="none"/>
    <s v="Not Verified"/>
    <s v="109xx"/>
    <s v="NY"/>
    <n v="851"/>
    <x v="69"/>
  </r>
  <r>
    <s v="customer 71"/>
    <s v="None"/>
    <s v="none"/>
    <x v="2"/>
    <n v="20000"/>
    <s v="none"/>
    <s v="Not Verified"/>
    <s v="480xx"/>
    <s v="MI"/>
    <n v="1282"/>
    <x v="70"/>
  </r>
  <r>
    <s v="customer 72"/>
    <s v="Bank Vault Technician"/>
    <s v="5 years"/>
    <x v="0"/>
    <n v="60000"/>
    <s v="none"/>
    <s v="Verified"/>
    <s v="109xx"/>
    <s v="NY"/>
    <n v="3326"/>
    <x v="71"/>
  </r>
  <r>
    <s v="customer 73"/>
    <s v="Manager"/>
    <s v="5 years"/>
    <x v="2"/>
    <n v="110000"/>
    <s v="none"/>
    <s v="Source Verified"/>
    <s v="109xx"/>
    <s v="NY"/>
    <n v="1990"/>
    <x v="72"/>
  </r>
  <r>
    <s v="customer 74"/>
    <s v="Senior Defined Benefit Specialist"/>
    <s v="5 years"/>
    <x v="0"/>
    <n v="75500"/>
    <s v="none"/>
    <s v="Not Verified"/>
    <s v="109xx"/>
    <s v="NY"/>
    <n v="22226"/>
    <x v="73"/>
  </r>
  <r>
    <s v="customer 75"/>
    <s v="Vice President"/>
    <s v="5 years"/>
    <x v="2"/>
    <n v="172000"/>
    <s v="none"/>
    <s v="Source Verified"/>
    <s v="109xx"/>
    <s v="NY"/>
    <n v="54950"/>
    <x v="74"/>
  </r>
  <r>
    <s v="customer 76"/>
    <s v="Director"/>
    <s v="5 years"/>
    <x v="1"/>
    <n v="145000"/>
    <s v="none"/>
    <s v="Verified"/>
    <s v="109xx"/>
    <s v="NY"/>
    <n v="17154"/>
    <x v="75"/>
  </r>
  <r>
    <s v="customer 77"/>
    <s v="Mamager"/>
    <s v="5 years"/>
    <x v="0"/>
    <n v="60000"/>
    <s v="none"/>
    <s v="Source Verified"/>
    <s v="109xx"/>
    <s v="NY"/>
    <n v="1863"/>
    <x v="76"/>
  </r>
  <r>
    <s v="customer 78"/>
    <s v="Dispatcher"/>
    <s v="5 years"/>
    <x v="0"/>
    <n v="62000"/>
    <s v="124nonenonenone"/>
    <s v="Verified"/>
    <s v="109xx"/>
    <s v="NY"/>
    <n v="1635"/>
    <x v="77"/>
  </r>
  <r>
    <s v="customer 79"/>
    <s v="Assistant Director Of Houskeeping"/>
    <s v="5 years"/>
    <x v="1"/>
    <n v="61602.32"/>
    <s v="none"/>
    <s v="Source Verified"/>
    <s v="109xx"/>
    <s v="NY"/>
    <n v="10809"/>
    <x v="78"/>
  </r>
  <r>
    <s v="customer 80"/>
    <s v="Field Tech"/>
    <s v="5 years"/>
    <x v="1"/>
    <n v="85000"/>
    <s v="none"/>
    <s v="Not Verified"/>
    <s v="109xx"/>
    <s v="NY"/>
    <n v="3914"/>
    <x v="79"/>
  </r>
  <r>
    <s v="customer 81"/>
    <s v="Senior Accountant"/>
    <s v="5 years"/>
    <x v="0"/>
    <n v="88000"/>
    <s v="none"/>
    <s v="Not Verified"/>
    <s v="109xx"/>
    <s v="NY"/>
    <n v="2153"/>
    <x v="80"/>
  </r>
  <r>
    <s v="customer 82"/>
    <s v="None"/>
    <s v="none"/>
    <x v="0"/>
    <n v="60000"/>
    <s v="92nonenonenone"/>
    <s v="Not Verified"/>
    <s v="480xx"/>
    <s v="MI"/>
    <n v="1539"/>
    <x v="81"/>
  </r>
  <r>
    <s v="customer 83"/>
    <s v="Professor"/>
    <s v="5 years"/>
    <x v="0"/>
    <n v="90000"/>
    <s v="none"/>
    <s v="Not Verified"/>
    <s v="109xx"/>
    <s v="NY"/>
    <n v="9425"/>
    <x v="82"/>
  </r>
  <r>
    <s v="customer 84"/>
    <s v="Registeren Nurse"/>
    <s v="5 years"/>
    <x v="1"/>
    <n v="63000"/>
    <s v="none"/>
    <s v="Not Verified"/>
    <s v="109xx"/>
    <s v="NY"/>
    <n v="16746"/>
    <x v="83"/>
  </r>
  <r>
    <s v="customer 85"/>
    <s v="Sales "/>
    <s v="5 years"/>
    <x v="2"/>
    <n v="110000"/>
    <s v="none"/>
    <s v="Source Verified"/>
    <s v="109xx"/>
    <s v="NY"/>
    <n v="26161"/>
    <x v="84"/>
  </r>
  <r>
    <s v="customer 86"/>
    <s v="Physical Therapist Assistant"/>
    <s v="5 years"/>
    <x v="0"/>
    <n v="55000"/>
    <s v="none"/>
    <s v="Verified"/>
    <s v="110xx"/>
    <s v="NY"/>
    <n v="2888"/>
    <x v="85"/>
  </r>
  <r>
    <s v="customer 87"/>
    <s v="Principal"/>
    <s v="5 years"/>
    <x v="0"/>
    <n v="140000"/>
    <s v="none"/>
    <s v="Source Verified"/>
    <s v="110xx"/>
    <s v="NY"/>
    <n v="2889"/>
    <x v="86"/>
  </r>
  <r>
    <s v="customer 88"/>
    <s v="Home Health Aide"/>
    <s v="5 years"/>
    <x v="1"/>
    <n v="48000"/>
    <s v="74nonenonenone"/>
    <s v="Not Verified"/>
    <s v="110xx"/>
    <s v="NY"/>
    <n v="1284"/>
    <x v="87"/>
  </r>
  <r>
    <s v="customer 89"/>
    <s v="Preschool Director"/>
    <s v="5 years"/>
    <x v="1"/>
    <n v="65000"/>
    <s v="none"/>
    <s v="Source Verified"/>
    <s v="110xx"/>
    <s v="NY"/>
    <n v="39411"/>
    <x v="88"/>
  </r>
  <r>
    <s v="customer 90"/>
    <s v="Sisu Home Entertainment "/>
    <s v="5 years"/>
    <x v="0"/>
    <n v="55000"/>
    <s v="none"/>
    <s v="Not Verified"/>
    <s v="110xx"/>
    <s v="NY"/>
    <n v="1267"/>
    <x v="89"/>
  </r>
  <r>
    <s v="customer 91"/>
    <s v="It Program Mgr"/>
    <s v="5 years"/>
    <x v="1"/>
    <n v="200000"/>
    <s v="none"/>
    <s v="Source Verified"/>
    <s v="110xx"/>
    <s v="NY"/>
    <n v="69929"/>
    <x v="90"/>
  </r>
  <r>
    <s v="customer 92"/>
    <s v="Front Desk Manager"/>
    <s v="5 years"/>
    <x v="0"/>
    <n v="40000"/>
    <s v="none"/>
    <s v="Source Verified"/>
    <s v="110xx"/>
    <s v="NY"/>
    <n v="2981"/>
    <x v="91"/>
  </r>
  <r>
    <s v="customer 93"/>
    <s v="None"/>
    <s v="none"/>
    <x v="2"/>
    <n v="40000"/>
    <s v="none"/>
    <s v="Source Verified"/>
    <s v="480xx"/>
    <s v="MI"/>
    <n v="859"/>
    <x v="92"/>
  </r>
  <r>
    <s v="customer 94"/>
    <s v="Dental Assistant"/>
    <s v="5 years"/>
    <x v="0"/>
    <n v="45000"/>
    <s v="none"/>
    <s v="Source Verified"/>
    <s v="110xx"/>
    <s v="NY"/>
    <n v="2167"/>
    <x v="93"/>
  </r>
  <r>
    <s v="customer 95"/>
    <s v="Fork Lift Operator "/>
    <s v="5 years"/>
    <x v="0"/>
    <n v="45000"/>
    <s v="none"/>
    <s v="Verified"/>
    <s v="110xx"/>
    <s v="NY"/>
    <n v="5134"/>
    <x v="94"/>
  </r>
  <r>
    <s v="customer 96"/>
    <s v="Director, Business Pmo"/>
    <s v="5 years"/>
    <x v="0"/>
    <n v="150000"/>
    <s v="none"/>
    <s v="Source Verified"/>
    <s v="110xx"/>
    <s v="NY"/>
    <n v="5048"/>
    <x v="95"/>
  </r>
  <r>
    <s v="customer 97"/>
    <s v="Svp, Cloud Architecture"/>
    <s v="5 years"/>
    <x v="1"/>
    <n v="310750"/>
    <s v="none"/>
    <s v="Source Verified"/>
    <s v="110xx"/>
    <s v="NY"/>
    <n v="49073"/>
    <x v="96"/>
  </r>
  <r>
    <s v="customer 98"/>
    <s v="Engineer"/>
    <s v="5 years"/>
    <x v="0"/>
    <n v="110000"/>
    <s v="none"/>
    <s v="Not Verified"/>
    <s v="110xx"/>
    <s v="NY"/>
    <n v="6774"/>
    <x v="97"/>
  </r>
  <r>
    <s v="customer 99"/>
    <s v="Teacher"/>
    <s v="5 years"/>
    <x v="1"/>
    <n v="55000"/>
    <s v="165nonenonenone"/>
    <s v="Source Verified"/>
    <s v="110xx"/>
    <s v="NY"/>
    <n v="6432"/>
    <x v="98"/>
  </r>
  <r>
    <s v="customer 100"/>
    <s v="Vice President"/>
    <s v="5 years"/>
    <x v="2"/>
    <n v="250000"/>
    <s v="none"/>
    <s v="Source Verified"/>
    <s v="110xx"/>
    <s v="NY"/>
    <n v="42203"/>
    <x v="99"/>
  </r>
  <r>
    <s v="customer 101"/>
    <s v="Publisher"/>
    <s v="5 years"/>
    <x v="1"/>
    <n v="210000"/>
    <s v="none"/>
    <s v="Source Verified"/>
    <s v="111xx"/>
    <s v="NY"/>
    <n v="26793"/>
    <x v="100"/>
  </r>
  <r>
    <s v="customer 102"/>
    <s v="Evp, Executive Creative Director"/>
    <s v="5 years"/>
    <x v="0"/>
    <n v="250000"/>
    <s v="none"/>
    <s v="Source Verified"/>
    <s v="111xx"/>
    <s v="NY"/>
    <n v="6347"/>
    <x v="101"/>
  </r>
  <r>
    <s v="customer 103"/>
    <s v="Sanitation Worker"/>
    <s v="5 years"/>
    <x v="0"/>
    <n v="75000"/>
    <s v="none"/>
    <s v="Verified"/>
    <s v="111xx"/>
    <s v="NY"/>
    <n v="1641"/>
    <x v="102"/>
  </r>
  <r>
    <s v="customer 104"/>
    <s v="None"/>
    <s v="none"/>
    <x v="1"/>
    <n v="16000"/>
    <s v="16nonenonenonenone"/>
    <s v="Verified"/>
    <s v="480xx"/>
    <s v="MI"/>
    <n v="23528"/>
    <x v="103"/>
  </r>
  <r>
    <s v="customer 105"/>
    <s v="Network Release Supervisor"/>
    <s v="5 years"/>
    <x v="0"/>
    <n v="82000"/>
    <s v="none"/>
    <s v="Source Verified"/>
    <s v="111xx"/>
    <s v="NY"/>
    <n v="8055"/>
    <x v="104"/>
  </r>
  <r>
    <s v="customer 106"/>
    <s v="Legal Assistant"/>
    <s v="5 years"/>
    <x v="0"/>
    <n v="65000"/>
    <s v="none"/>
    <s v="Source Verified"/>
    <s v="111xx"/>
    <s v="NY"/>
    <n v="4814"/>
    <x v="105"/>
  </r>
  <r>
    <s v="customer 107"/>
    <s v="Mngr"/>
    <s v="5 years"/>
    <x v="0"/>
    <n v="65000"/>
    <s v="none"/>
    <s v="Source Verified"/>
    <s v="111xx"/>
    <s v="NY"/>
    <n v="1986"/>
    <x v="106"/>
  </r>
  <r>
    <s v="customer 108"/>
    <s v="Activation Manager"/>
    <s v="5 years"/>
    <x v="0"/>
    <n v="68000"/>
    <s v="none"/>
    <s v="Source Verified"/>
    <s v="111xx"/>
    <s v="NY"/>
    <n v="3979"/>
    <x v="107"/>
  </r>
  <r>
    <s v="customer 109"/>
    <s v="Team Lead"/>
    <s v="5 years"/>
    <x v="2"/>
    <n v="100000"/>
    <s v="none"/>
    <s v="Source Verified"/>
    <s v="111xx"/>
    <s v="NY"/>
    <n v="2071"/>
    <x v="108"/>
  </r>
  <r>
    <s v="customer 110"/>
    <s v="Social Media Evaluator/Dog Walker"/>
    <s v="5 years"/>
    <x v="0"/>
    <n v="28000"/>
    <s v="none"/>
    <s v="Source Verified"/>
    <s v="111xx"/>
    <s v="NY"/>
    <n v="3334"/>
    <x v="109"/>
  </r>
  <r>
    <s v="customer 111"/>
    <s v="Project Manager "/>
    <s v="5 years"/>
    <x v="0"/>
    <n v="170000"/>
    <s v="none"/>
    <s v="Source Verified"/>
    <s v="111xx"/>
    <s v="NY"/>
    <n v="3948"/>
    <x v="110"/>
  </r>
  <r>
    <s v="customer 112"/>
    <s v="Care Coordinator"/>
    <s v="5 years"/>
    <x v="0"/>
    <n v="49377"/>
    <s v="none"/>
    <s v="Source Verified"/>
    <s v="111xx"/>
    <s v="NY"/>
    <n v="785"/>
    <x v="111"/>
  </r>
  <r>
    <s v="customer 113"/>
    <s v="Solutions Architect"/>
    <s v="5 years"/>
    <x v="1"/>
    <n v="200000"/>
    <s v="none"/>
    <s v="Source Verified"/>
    <s v="111xx"/>
    <s v="NY"/>
    <n v="25022"/>
    <x v="112"/>
  </r>
  <r>
    <s v="customer 114"/>
    <s v="Doorman"/>
    <s v="5 years"/>
    <x v="0"/>
    <n v="50000"/>
    <s v="none"/>
    <s v="Not Verified"/>
    <s v="111xx"/>
    <s v="NY"/>
    <n v="2061"/>
    <x v="113"/>
  </r>
  <r>
    <s v="customer 115"/>
    <s v="None"/>
    <s v="none"/>
    <x v="2"/>
    <n v="45000"/>
    <s v="139nonenonenone"/>
    <s v="Source Verified"/>
    <s v="077xx"/>
    <s v="NJ"/>
    <n v="24809"/>
    <x v="114"/>
  </r>
  <r>
    <s v="customer 116"/>
    <s v="None"/>
    <s v="none"/>
    <x v="1"/>
    <n v="50000"/>
    <s v="none"/>
    <s v="Not Verified"/>
    <s v="480xx"/>
    <s v="MI"/>
    <n v="4892"/>
    <x v="115"/>
  </r>
  <r>
    <s v="customer 117"/>
    <s v="Manager"/>
    <s v="5 years"/>
    <x v="0"/>
    <n v="64000"/>
    <s v="none"/>
    <s v="Source Verified"/>
    <s v="111xx"/>
    <s v="NY"/>
    <n v="1469"/>
    <x v="116"/>
  </r>
  <r>
    <s v="customer 118"/>
    <s v="Korona Painting Corp"/>
    <s v="5 years"/>
    <x v="0"/>
    <n v="85340"/>
    <s v="none"/>
    <s v="Verified"/>
    <s v="111xx"/>
    <s v="NY"/>
    <n v="10592"/>
    <x v="117"/>
  </r>
  <r>
    <s v="customer 119"/>
    <s v="Supply Chain Planner"/>
    <s v="5 years"/>
    <x v="0"/>
    <n v="90000"/>
    <s v="none"/>
    <s v="Source Verified"/>
    <s v="111xx"/>
    <s v="NY"/>
    <n v="3777"/>
    <x v="118"/>
  </r>
  <r>
    <s v="customer 120"/>
    <s v="Asig"/>
    <s v="5 years"/>
    <x v="0"/>
    <n v="56000"/>
    <s v="none"/>
    <s v="Not Verified"/>
    <s v="111xx"/>
    <s v="NY"/>
    <n v="1946"/>
    <x v="119"/>
  </r>
  <r>
    <s v="customer 121"/>
    <s v="C2 Imaging"/>
    <s v="5 years"/>
    <x v="0"/>
    <n v="56000"/>
    <s v="none"/>
    <s v="Source Verified"/>
    <s v="111xx"/>
    <s v="NY"/>
    <n v="489"/>
    <x v="120"/>
  </r>
  <r>
    <s v="customer 122"/>
    <s v="Sanitation Worker"/>
    <s v="5 years"/>
    <x v="0"/>
    <n v="81414"/>
    <s v="none"/>
    <s v="Verified"/>
    <s v="111xx"/>
    <s v="NY"/>
    <n v="17689"/>
    <x v="121"/>
  </r>
  <r>
    <s v="customer 123"/>
    <s v="Executive Assistant "/>
    <s v="5 years"/>
    <x v="0"/>
    <n v="85000"/>
    <s v="none"/>
    <s v="Source Verified"/>
    <s v="111xx"/>
    <s v="NY"/>
    <n v="2558"/>
    <x v="122"/>
  </r>
  <r>
    <s v="customer 124"/>
    <s v="Manager"/>
    <s v="5 years"/>
    <x v="1"/>
    <n v="65000"/>
    <s v="none"/>
    <s v="Source Verified"/>
    <s v="111xx"/>
    <s v="NY"/>
    <n v="906"/>
    <x v="123"/>
  </r>
  <r>
    <s v="customer 125"/>
    <s v="Art Department Coordinator"/>
    <s v="5 years"/>
    <x v="0"/>
    <n v="85000"/>
    <s v="none"/>
    <s v="Source Verified"/>
    <s v="111xx"/>
    <s v="NY"/>
    <n v="6493"/>
    <x v="124"/>
  </r>
  <r>
    <s v="customer 126"/>
    <s v="Residential Aide Manager"/>
    <s v="5 years"/>
    <x v="0"/>
    <n v="50000"/>
    <s v="none"/>
    <s v="Verified"/>
    <s v="111xx"/>
    <s v="NY"/>
    <n v="6532"/>
    <x v="125"/>
  </r>
  <r>
    <s v="customer 127"/>
    <s v="None"/>
    <s v="none"/>
    <x v="1"/>
    <n v="120000"/>
    <s v="none"/>
    <s v="Verified"/>
    <s v="480xx"/>
    <s v="MI"/>
    <n v="12090"/>
    <x v="126"/>
  </r>
  <r>
    <s v="customer 128"/>
    <s v="Medical Technologist"/>
    <s v="5 years"/>
    <x v="1"/>
    <n v="80000"/>
    <s v="none"/>
    <s v="Not Verified"/>
    <s v="111xx"/>
    <s v="NY"/>
    <n v="2215"/>
    <x v="127"/>
  </r>
  <r>
    <s v="customer 129"/>
    <s v="It Recruiter"/>
    <s v="5 years"/>
    <x v="0"/>
    <n v="85000"/>
    <s v="none"/>
    <s v="Source Verified"/>
    <s v="111xx"/>
    <s v="NY"/>
    <n v="2450"/>
    <x v="128"/>
  </r>
  <r>
    <s v="customer 130"/>
    <s v="Lead Teller"/>
    <s v="5 years"/>
    <x v="0"/>
    <n v="34000"/>
    <s v="none"/>
    <s v="Source Verified"/>
    <s v="111xx"/>
    <s v="NY"/>
    <n v="4090"/>
    <x v="129"/>
  </r>
  <r>
    <s v="customer 131"/>
    <s v="Business Owner"/>
    <s v="5 years"/>
    <x v="0"/>
    <n v="60000"/>
    <s v="none"/>
    <s v="Not Verified"/>
    <s v="111xx"/>
    <s v="NY"/>
    <n v="626"/>
    <x v="130"/>
  </r>
  <r>
    <s v="customer 132"/>
    <s v="Manager"/>
    <s v="5 years"/>
    <x v="0"/>
    <n v="45000"/>
    <s v="none"/>
    <s v="Not Verified"/>
    <s v="111xx"/>
    <s v="NY"/>
    <n v="820"/>
    <x v="131"/>
  </r>
  <r>
    <s v="customer 133"/>
    <s v="Bartender/ Barback"/>
    <s v="5 years"/>
    <x v="0"/>
    <n v="55000"/>
    <s v="95nonenonenone"/>
    <s v="Not Verified"/>
    <s v="111xx"/>
    <s v="NY"/>
    <n v="4295"/>
    <x v="132"/>
  </r>
  <r>
    <s v="customer 134"/>
    <s v="It Consulant"/>
    <s v="5 years"/>
    <x v="0"/>
    <n v="62000"/>
    <s v="none"/>
    <s v="Not Verified"/>
    <s v="111xx"/>
    <s v="NY"/>
    <n v="3196"/>
    <x v="133"/>
  </r>
  <r>
    <s v="customer 135"/>
    <s v="Staff Auditor"/>
    <s v="5 years"/>
    <x v="0"/>
    <n v="68000"/>
    <s v="none"/>
    <s v="Not Verified"/>
    <s v="111xx"/>
    <s v="NY"/>
    <n v="3982"/>
    <x v="134"/>
  </r>
  <r>
    <s v="customer 136"/>
    <s v="Transfer Agent"/>
    <s v="5 years"/>
    <x v="0"/>
    <n v="55000"/>
    <s v="none"/>
    <s v="Not Verified"/>
    <s v="111xx"/>
    <s v="NY"/>
    <n v="667"/>
    <x v="135"/>
  </r>
  <r>
    <s v="customer 137"/>
    <s v="Financial Advisor"/>
    <s v="5 years"/>
    <x v="0"/>
    <n v="100000"/>
    <s v="none"/>
    <s v="Source Verified"/>
    <s v="111xx"/>
    <s v="NY"/>
    <n v="609"/>
    <x v="136"/>
  </r>
  <r>
    <s v="customer 138"/>
    <s v="None"/>
    <s v="none"/>
    <x v="2"/>
    <n v="36800"/>
    <s v="none"/>
    <s v="Verified"/>
    <s v="480xx"/>
    <s v="MI"/>
    <n v="3094"/>
    <x v="137"/>
  </r>
  <r>
    <s v="customer 139"/>
    <s v="Admissions Representative"/>
    <s v="5 years"/>
    <x v="0"/>
    <n v="38000"/>
    <s v="none"/>
    <s v="Verified"/>
    <s v="111xx"/>
    <s v="NY"/>
    <n v="1111"/>
    <x v="138"/>
  </r>
  <r>
    <s v="customer 140"/>
    <s v="Billing Specialist"/>
    <s v="5 years"/>
    <x v="0"/>
    <n v="40000"/>
    <s v="none"/>
    <s v="Not Verified"/>
    <s v="111xx"/>
    <s v="NY"/>
    <n v="2162"/>
    <x v="139"/>
  </r>
  <r>
    <s v="customer 141"/>
    <s v="Handyman"/>
    <s v="5 years"/>
    <x v="0"/>
    <n v="54000"/>
    <s v="none"/>
    <s v="Verified"/>
    <s v="111xx"/>
    <s v="NY"/>
    <n v="1983"/>
    <x v="140"/>
  </r>
  <r>
    <s v="customer 142"/>
    <s v="Petra Restaurant Group"/>
    <s v="5 years"/>
    <x v="0"/>
    <n v="35000"/>
    <s v="none"/>
    <s v="Verified"/>
    <s v="111xx"/>
    <s v="NY"/>
    <n v="318"/>
    <x v="141"/>
  </r>
  <r>
    <s v="customer 143"/>
    <s v="Home Health Attendant"/>
    <s v="5 years"/>
    <x v="0"/>
    <n v="65000"/>
    <s v="none"/>
    <s v="Source Verified"/>
    <s v="112xx"/>
    <s v="NY"/>
    <n v="2235"/>
    <x v="142"/>
  </r>
  <r>
    <s v="customer 144"/>
    <s v="Parking Attendant"/>
    <s v="5 years"/>
    <x v="0"/>
    <n v="55000"/>
    <s v="none"/>
    <s v="Source Verified"/>
    <s v="112xx"/>
    <s v="NY"/>
    <n v="2456"/>
    <x v="143"/>
  </r>
  <r>
    <s v="customer 145"/>
    <s v="Maintenance Supervisor"/>
    <s v="5 years"/>
    <x v="2"/>
    <n v="48000"/>
    <s v="none"/>
    <s v="Source Verified"/>
    <s v="112xx"/>
    <s v="NY"/>
    <n v="2827"/>
    <x v="144"/>
  </r>
  <r>
    <s v="customer 146"/>
    <s v="Teachers Assistant"/>
    <s v="5 years"/>
    <x v="0"/>
    <n v="26000"/>
    <s v="none"/>
    <s v="Not Verified"/>
    <s v="112xx"/>
    <s v="NY"/>
    <n v="374"/>
    <x v="145"/>
  </r>
  <r>
    <s v="customer 147"/>
    <s v="Superintendent "/>
    <s v="5 years"/>
    <x v="0"/>
    <n v="40000"/>
    <s v="none"/>
    <s v="Not Verified"/>
    <s v="112xx"/>
    <s v="NY"/>
    <n v="3340"/>
    <x v="146"/>
  </r>
  <r>
    <s v="customer 148"/>
    <s v="Esthetician"/>
    <s v="5 years"/>
    <x v="0"/>
    <n v="70000"/>
    <s v="none"/>
    <s v="Source Verified"/>
    <s v="112xx"/>
    <s v="NY"/>
    <n v="1214"/>
    <x v="147"/>
  </r>
  <r>
    <s v="customer 149"/>
    <s v="None"/>
    <s v="none"/>
    <x v="0"/>
    <n v="47052"/>
    <s v="none"/>
    <s v="Verified"/>
    <s v="480xx"/>
    <s v="MI"/>
    <n v="2320"/>
    <x v="148"/>
  </r>
  <r>
    <s v="customer 150"/>
    <s v="Personal Assistant"/>
    <s v="5 years"/>
    <x v="0"/>
    <n v="150000"/>
    <s v="none"/>
    <s v="Not Verified"/>
    <s v="112xx"/>
    <s v="NY"/>
    <n v="3807"/>
    <x v="149"/>
  </r>
  <r>
    <s v="customer 151"/>
    <s v="Security Officer"/>
    <s v="5 years"/>
    <x v="0"/>
    <n v="35000"/>
    <s v="none"/>
    <s v="Not Verified"/>
    <s v="112xx"/>
    <s v="NY"/>
    <n v="1467"/>
    <x v="150"/>
  </r>
  <r>
    <s v="customer 152"/>
    <s v="Food Runner"/>
    <s v="5 years"/>
    <x v="0"/>
    <n v="80000"/>
    <s v="none"/>
    <s v="Source Verified"/>
    <s v="112xx"/>
    <s v="NY"/>
    <n v="2589"/>
    <x v="151"/>
  </r>
  <r>
    <s v="customer 153"/>
    <s v="Ceo Executive Assitant "/>
    <s v="5 years"/>
    <x v="0"/>
    <n v="128000"/>
    <s v="none"/>
    <s v="Verified"/>
    <s v="112xx"/>
    <s v="NY"/>
    <n v="5960"/>
    <x v="152"/>
  </r>
  <r>
    <s v="customer 154"/>
    <s v="Literary Agent"/>
    <s v="5 years"/>
    <x v="2"/>
    <n v="90000"/>
    <s v="none"/>
    <s v="Not Verified"/>
    <s v="112xx"/>
    <s v="NY"/>
    <n v="46704"/>
    <x v="153"/>
  </r>
  <r>
    <s v="customer 155"/>
    <s v="Deutsche Bank"/>
    <s v="5 years"/>
    <x v="2"/>
    <n v="77000"/>
    <s v="none"/>
    <s v="Verified"/>
    <s v="112xx"/>
    <s v="NY"/>
    <n v="9088"/>
    <x v="154"/>
  </r>
  <r>
    <s v="customer 156"/>
    <s v="Driver"/>
    <s v="5 years"/>
    <x v="0"/>
    <n v="45000"/>
    <s v="none"/>
    <s v="Not Verified"/>
    <s v="112xx"/>
    <s v="NY"/>
    <n v="2365"/>
    <x v="155"/>
  </r>
  <r>
    <s v="customer 157"/>
    <s v="Associate Real Estate Broker"/>
    <s v="5 years"/>
    <x v="0"/>
    <n v="125000"/>
    <s v="none"/>
    <s v="Source Verified"/>
    <s v="112xx"/>
    <s v="NY"/>
    <n v="4287"/>
    <x v="156"/>
  </r>
  <r>
    <s v="customer 158"/>
    <s v="Co-Manager "/>
    <s v="5 years"/>
    <x v="0"/>
    <n v="33000"/>
    <s v="none"/>
    <s v="Verified"/>
    <s v="112xx"/>
    <s v="NY"/>
    <n v="3663"/>
    <x v="157"/>
  </r>
  <r>
    <s v="customer 159"/>
    <s v="Business Analyst"/>
    <s v="5 years"/>
    <x v="0"/>
    <n v="85000"/>
    <s v="none"/>
    <s v="Not Verified"/>
    <s v="112xx"/>
    <s v="NY"/>
    <n v="1546"/>
    <x v="158"/>
  </r>
  <r>
    <s v="customer 160"/>
    <s v="None"/>
    <s v="none"/>
    <x v="0"/>
    <n v="44520"/>
    <s v="none"/>
    <s v="Verified"/>
    <s v="480xx"/>
    <s v="MI"/>
    <n v="5954"/>
    <x v="159"/>
  </r>
  <r>
    <s v="customer 161"/>
    <s v="Senior Publicist"/>
    <s v="5 years"/>
    <x v="0"/>
    <n v="50000"/>
    <s v="none"/>
    <s v="Verified"/>
    <s v="112xx"/>
    <s v="NY"/>
    <n v="3403"/>
    <x v="160"/>
  </r>
  <r>
    <s v="customer 162"/>
    <s v="Mgr"/>
    <s v="5 years"/>
    <x v="0"/>
    <n v="65000"/>
    <s v="none"/>
    <s v="Verified"/>
    <s v="112xx"/>
    <s v="NY"/>
    <n v="4367"/>
    <x v="161"/>
  </r>
  <r>
    <s v="customer 163"/>
    <s v="Delta Airlines"/>
    <s v="5 years"/>
    <x v="0"/>
    <n v="35000"/>
    <s v="none"/>
    <s v="Verified"/>
    <s v="112xx"/>
    <s v="NY"/>
    <n v="1731"/>
    <x v="162"/>
  </r>
  <r>
    <s v="customer 164"/>
    <s v="Police Officer"/>
    <s v="5 years"/>
    <x v="0"/>
    <n v="85000"/>
    <s v="none"/>
    <s v="Verified"/>
    <s v="112xx"/>
    <s v="NY"/>
    <n v="3262"/>
    <x v="163"/>
  </r>
  <r>
    <s v="customer 165"/>
    <s v="Specialty Rx Inc."/>
    <s v="5 years"/>
    <x v="0"/>
    <n v="60000"/>
    <s v="none"/>
    <s v="Verified"/>
    <s v="112xx"/>
    <s v="NY"/>
    <n v="2486"/>
    <x v="164"/>
  </r>
  <r>
    <s v="customer 166"/>
    <s v="Escort"/>
    <s v="5 years"/>
    <x v="0"/>
    <n v="26000"/>
    <s v="none"/>
    <s v="Source Verified"/>
    <s v="112xx"/>
    <s v="NY"/>
    <n v="1264"/>
    <x v="165"/>
  </r>
  <r>
    <s v="customer 167"/>
    <s v="Administrative "/>
    <s v="5 years"/>
    <x v="0"/>
    <n v="17000"/>
    <s v="none"/>
    <s v="Verified"/>
    <s v="112xx"/>
    <s v="NY"/>
    <n v="2747"/>
    <x v="166"/>
  </r>
  <r>
    <s v="customer 168"/>
    <s v="Sales Associate "/>
    <s v="5 years"/>
    <x v="2"/>
    <n v="40000"/>
    <s v="none"/>
    <s v="Not Verified"/>
    <s v="112xx"/>
    <s v="NY"/>
    <n v="2291"/>
    <x v="167"/>
  </r>
  <r>
    <s v="customer 169"/>
    <s v="Manager"/>
    <s v="5 years"/>
    <x v="0"/>
    <n v="50000"/>
    <s v="none"/>
    <s v="Source Verified"/>
    <s v="112xx"/>
    <s v="NY"/>
    <n v="2214"/>
    <x v="168"/>
  </r>
  <r>
    <s v="customer 170"/>
    <s v="Security Officer"/>
    <s v="5 years"/>
    <x v="0"/>
    <n v="33000"/>
    <s v="none"/>
    <s v="Source Verified"/>
    <s v="112xx"/>
    <s v="NY"/>
    <n v="1656"/>
    <x v="169"/>
  </r>
  <r>
    <s v="customer 171"/>
    <s v="None"/>
    <s v="none"/>
    <x v="0"/>
    <n v="53000"/>
    <s v="none"/>
    <s v="Not Verified"/>
    <s v="480xx"/>
    <s v="MI"/>
    <n v="1757"/>
    <x v="170"/>
  </r>
  <r>
    <s v="customer 172"/>
    <s v="Carpenter"/>
    <s v="5 years"/>
    <x v="0"/>
    <n v="32000"/>
    <s v="none"/>
    <s v="Not Verified"/>
    <s v="112xx"/>
    <s v="NY"/>
    <n v="2571"/>
    <x v="171"/>
  </r>
  <r>
    <s v="customer 173"/>
    <s v="Temp"/>
    <s v="5 years"/>
    <x v="0"/>
    <n v="37643"/>
    <s v="none"/>
    <s v="Source Verified"/>
    <s v="112xx"/>
    <s v="NY"/>
    <n v="3602"/>
    <x v="172"/>
  </r>
  <r>
    <s v="customer 174"/>
    <s v="None"/>
    <s v="5 years"/>
    <x v="0"/>
    <n v="42750"/>
    <s v="none"/>
    <s v="Verified"/>
    <s v="112xx"/>
    <s v="NY"/>
    <n v="5998"/>
    <x v="173"/>
  </r>
  <r>
    <s v="customer 175"/>
    <s v="Car Inspector"/>
    <s v="5 years"/>
    <x v="0"/>
    <n v="75000"/>
    <s v="none"/>
    <s v="Not Verified"/>
    <s v="112xx"/>
    <s v="NY"/>
    <n v="2484"/>
    <x v="174"/>
  </r>
  <r>
    <s v="customer 176"/>
    <s v="Field Supervisor"/>
    <s v="5 years"/>
    <x v="0"/>
    <n v="60000"/>
    <s v="none"/>
    <s v="Not Verified"/>
    <s v="112xx"/>
    <s v="NY"/>
    <n v="2392"/>
    <x v="175"/>
  </r>
  <r>
    <s v="customer 177"/>
    <s v="Technical Designer"/>
    <s v="5 years"/>
    <x v="0"/>
    <n v="120000"/>
    <s v="none"/>
    <s v="Source Verified"/>
    <s v="112xx"/>
    <s v="NY"/>
    <n v="4460"/>
    <x v="176"/>
  </r>
  <r>
    <s v="customer 178"/>
    <s v="Nursery Teacher"/>
    <s v="5 years"/>
    <x v="0"/>
    <n v="40000"/>
    <s v="none"/>
    <s v="Source Verified"/>
    <s v="112xx"/>
    <s v="NY"/>
    <n v="7857"/>
    <x v="177"/>
  </r>
  <r>
    <s v="customer 179"/>
    <s v="Social Worker"/>
    <s v="5 years"/>
    <x v="0"/>
    <n v="66000"/>
    <s v="none"/>
    <s v="Not Verified"/>
    <s v="112xx"/>
    <s v="NY"/>
    <n v="22065"/>
    <x v="178"/>
  </r>
  <r>
    <s v="customer 180"/>
    <s v="Senior Accountant"/>
    <s v="5 years"/>
    <x v="0"/>
    <n v="52000"/>
    <s v="none"/>
    <s v="Verified"/>
    <s v="112xx"/>
    <s v="NY"/>
    <n v="3274"/>
    <x v="179"/>
  </r>
  <r>
    <s v="customer 181"/>
    <s v="School Director "/>
    <s v="5 years"/>
    <x v="0"/>
    <n v="140000"/>
    <s v="none"/>
    <s v="Source Verified"/>
    <s v="112xx"/>
    <s v="NY"/>
    <n v="5694"/>
    <x v="180"/>
  </r>
  <r>
    <s v="customer 182"/>
    <s v="None"/>
    <s v="none"/>
    <x v="0"/>
    <n v="44000"/>
    <s v="none"/>
    <s v="Not Verified"/>
    <s v="480xx"/>
    <s v="MI"/>
    <n v="11112"/>
    <x v="181"/>
  </r>
  <r>
    <s v="customer 183"/>
    <s v="Roofer"/>
    <s v="5 years"/>
    <x v="0"/>
    <n v="70000"/>
    <s v="none"/>
    <s v="Source Verified"/>
    <s v="112xx"/>
    <s v="NY"/>
    <n v="1847"/>
    <x v="182"/>
  </r>
  <r>
    <s v="customer 184"/>
    <s v="Teacher"/>
    <s v="5 years"/>
    <x v="1"/>
    <n v="60000"/>
    <s v="none"/>
    <s v="Source Verified"/>
    <s v="112xx"/>
    <s v="NY"/>
    <n v="1248"/>
    <x v="183"/>
  </r>
  <r>
    <s v="customer 185"/>
    <s v="Counselor And Trainer"/>
    <s v="5 years"/>
    <x v="0"/>
    <n v="45000"/>
    <s v="none"/>
    <s v="Source Verified"/>
    <s v="112xx"/>
    <s v="NY"/>
    <n v="16959"/>
    <x v="184"/>
  </r>
  <r>
    <s v="customer 186"/>
    <s v="Clerical Associate"/>
    <s v="5 years"/>
    <x v="0"/>
    <n v="40000"/>
    <s v="none"/>
    <s v="Source Verified"/>
    <s v="112xx"/>
    <s v="NY"/>
    <n v="1682"/>
    <x v="185"/>
  </r>
  <r>
    <s v="customer 187"/>
    <s v="Assistance Store Manager"/>
    <s v="5 years"/>
    <x v="0"/>
    <n v="42000"/>
    <s v="none"/>
    <s v="Source Verified"/>
    <s v="112xx"/>
    <s v="NY"/>
    <n v="842"/>
    <x v="186"/>
  </r>
  <r>
    <s v="customer 188"/>
    <s v="Nurse"/>
    <s v="5 years"/>
    <x v="1"/>
    <n v="115000"/>
    <s v="none"/>
    <s v="Source Verified"/>
    <s v="112xx"/>
    <s v="NY"/>
    <n v="63974"/>
    <x v="187"/>
  </r>
  <r>
    <s v="customer 189"/>
    <s v="Pharmacist"/>
    <s v="5 years"/>
    <x v="0"/>
    <n v="100000"/>
    <s v="none"/>
    <s v="Source Verified"/>
    <s v="112xx"/>
    <s v="NY"/>
    <n v="5819"/>
    <x v="188"/>
  </r>
  <r>
    <s v="customer 190"/>
    <s v="System Administrator"/>
    <s v="5 years"/>
    <x v="0"/>
    <n v="75000"/>
    <s v="none"/>
    <s v="Source Verified"/>
    <s v="112xx"/>
    <s v="NY"/>
    <n v="3458"/>
    <x v="189"/>
  </r>
  <r>
    <s v="customer 191"/>
    <s v="Grocery "/>
    <s v="5 years"/>
    <x v="2"/>
    <n v="11000"/>
    <s v="none"/>
    <s v="Verified"/>
    <s v="112xx"/>
    <s v="NY"/>
    <n v="661"/>
    <x v="190"/>
  </r>
  <r>
    <s v="customer 192"/>
    <s v="Vendor Manager"/>
    <s v="5 years"/>
    <x v="1"/>
    <n v="180000"/>
    <s v="none"/>
    <s v="Source Verified"/>
    <s v="112xx"/>
    <s v="NY"/>
    <n v="56443"/>
    <x v="191"/>
  </r>
  <r>
    <s v="customer 193"/>
    <s v="None"/>
    <s v="none"/>
    <x v="1"/>
    <n v="40000"/>
    <s v="none"/>
    <s v="Verified"/>
    <s v="480xx"/>
    <s v="MI"/>
    <n v="22238"/>
    <x v="192"/>
  </r>
  <r>
    <s v="customer 194"/>
    <s v="Automotive Bookkeeper"/>
    <s v="5 years"/>
    <x v="0"/>
    <n v="54600"/>
    <s v="none"/>
    <s v="Not Verified"/>
    <s v="112xx"/>
    <s v="NY"/>
    <n v="1744"/>
    <x v="193"/>
  </r>
  <r>
    <s v="customer 195"/>
    <s v="Doorman/Porter"/>
    <s v="5 years"/>
    <x v="0"/>
    <n v="52000"/>
    <s v="none"/>
    <s v="Not Verified"/>
    <s v="112xx"/>
    <s v="NY"/>
    <n v="5322"/>
    <x v="194"/>
  </r>
  <r>
    <s v="customer 196"/>
    <s v="Solution Specialist"/>
    <s v="5 years"/>
    <x v="0"/>
    <n v="85000"/>
    <s v="none"/>
    <s v="Source Verified"/>
    <s v="112xx"/>
    <s v="NY"/>
    <n v="93203"/>
    <x v="195"/>
  </r>
  <r>
    <s v="customer 197"/>
    <s v="Front Desk Agent"/>
    <s v="5 years"/>
    <x v="0"/>
    <n v="51000"/>
    <s v="none"/>
    <s v="Source Verified"/>
    <s v="112xx"/>
    <s v="NY"/>
    <n v="2274"/>
    <x v="196"/>
  </r>
  <r>
    <s v="customer 198"/>
    <s v="Driver"/>
    <s v="5 years"/>
    <x v="0"/>
    <n v="55000"/>
    <s v="none"/>
    <s v="Not Verified"/>
    <s v="112xx"/>
    <s v="NY"/>
    <n v="5331"/>
    <x v="197"/>
  </r>
  <r>
    <s v="customer 199"/>
    <s v="Mgr"/>
    <s v="5 years"/>
    <x v="2"/>
    <n v="150000"/>
    <s v="none"/>
    <s v="Not Verified"/>
    <s v="112xx"/>
    <s v="NY"/>
    <n v="6291"/>
    <x v="198"/>
  </r>
  <r>
    <s v="customer 200"/>
    <s v="Director"/>
    <s v="5 years"/>
    <x v="0"/>
    <n v="64000"/>
    <s v="none"/>
    <s v="Source Verified"/>
    <s v="112xx"/>
    <s v="NY"/>
    <n v="13427"/>
    <x v="199"/>
  </r>
  <r>
    <s v="customer 201"/>
    <s v="Financial Controller"/>
    <s v="5 years"/>
    <x v="0"/>
    <n v="160800"/>
    <s v="none"/>
    <s v="Not Verified"/>
    <s v="112xx"/>
    <s v="NY"/>
    <n v="2363"/>
    <x v="200"/>
  </r>
  <r>
    <s v="customer 202"/>
    <s v="Community Assitant "/>
    <s v="5 years"/>
    <x v="0"/>
    <n v="65000"/>
    <s v="none"/>
    <s v="Source Verified"/>
    <s v="112xx"/>
    <s v="NY"/>
    <n v="2277"/>
    <x v="201"/>
  </r>
  <r>
    <s v="customer 203"/>
    <s v="Physical Therapist"/>
    <s v="5 years"/>
    <x v="0"/>
    <n v="64000"/>
    <s v="none"/>
    <s v="Not Verified"/>
    <s v="112xx"/>
    <s v="NY"/>
    <n v="11796"/>
    <x v="202"/>
  </r>
  <r>
    <s v="customer 204"/>
    <s v="None"/>
    <s v="none"/>
    <x v="1"/>
    <n v="65000"/>
    <s v="none"/>
    <s v="Not Verified"/>
    <s v="480xx"/>
    <s v="MI"/>
    <n v="4960"/>
    <x v="203"/>
  </r>
  <r>
    <s v="customer 205"/>
    <s v="Mr Shawn Robbins"/>
    <s v="5 years"/>
    <x v="2"/>
    <n v="47400"/>
    <s v="none"/>
    <s v="Source Verified"/>
    <s v="112xx"/>
    <s v="NY"/>
    <n v="14103"/>
    <x v="204"/>
  </r>
  <r>
    <s v="customer 206"/>
    <s v="Counterman"/>
    <s v="5 years"/>
    <x v="0"/>
    <n v="61000"/>
    <s v="none"/>
    <s v="Not Verified"/>
    <s v="112xx"/>
    <s v="NY"/>
    <n v="1582"/>
    <x v="205"/>
  </r>
  <r>
    <s v="customer 207"/>
    <s v="Staff Attorney"/>
    <s v="5 years"/>
    <x v="0"/>
    <n v="68000"/>
    <s v="none"/>
    <s v="Not Verified"/>
    <s v="112xx"/>
    <s v="NY"/>
    <n v="21560"/>
    <x v="206"/>
  </r>
  <r>
    <s v="customer 208"/>
    <s v="School Cleaner "/>
    <s v="5 years"/>
    <x v="0"/>
    <n v="50000"/>
    <s v="none"/>
    <s v="Source Verified"/>
    <s v="112xx"/>
    <s v="NY"/>
    <n v="1958"/>
    <x v="207"/>
  </r>
  <r>
    <s v="customer 209"/>
    <s v="Teacher"/>
    <s v="5 years"/>
    <x v="0"/>
    <n v="70000"/>
    <s v="none"/>
    <s v="Not Verified"/>
    <s v="112xx"/>
    <s v="NY"/>
    <n v="13073"/>
    <x v="208"/>
  </r>
  <r>
    <s v="customer 210"/>
    <s v="Director"/>
    <s v="5 years"/>
    <x v="0"/>
    <n v="146000"/>
    <s v="none"/>
    <s v="Source Verified"/>
    <s v="112xx"/>
    <s v="NY"/>
    <n v="5982"/>
    <x v="209"/>
  </r>
  <r>
    <s v="customer 211"/>
    <s v="Reporter"/>
    <s v="5 years"/>
    <x v="0"/>
    <n v="70000"/>
    <s v="none"/>
    <s v="Not Verified"/>
    <s v="112xx"/>
    <s v="NY"/>
    <n v="6013"/>
    <x v="210"/>
  </r>
  <r>
    <s v="customer 212"/>
    <s v="Lead Care Manager"/>
    <s v="5 years"/>
    <x v="0"/>
    <n v="40000"/>
    <s v="none"/>
    <s v="Not Verified"/>
    <s v="112xx"/>
    <s v="NY"/>
    <n v="798"/>
    <x v="211"/>
  </r>
  <r>
    <s v="customer 213"/>
    <s v="Senior Director Of Strategy And Planning"/>
    <s v="5 years"/>
    <x v="0"/>
    <n v="150000"/>
    <s v="none"/>
    <s v="Verified"/>
    <s v="112xx"/>
    <s v="NY"/>
    <n v="2264"/>
    <x v="212"/>
  </r>
  <r>
    <s v="customer 214"/>
    <s v="Bus Operator"/>
    <s v="5 years"/>
    <x v="0"/>
    <n v="75000"/>
    <s v="none"/>
    <s v="Source Verified"/>
    <s v="112xx"/>
    <s v="NY"/>
    <n v="3163"/>
    <x v="213"/>
  </r>
  <r>
    <s v="customer 215"/>
    <s v="None"/>
    <s v="none"/>
    <x v="1"/>
    <n v="70000"/>
    <s v="none"/>
    <s v="Verified"/>
    <s v="480xx"/>
    <s v="MI"/>
    <n v="13484"/>
    <x v="214"/>
  </r>
  <r>
    <s v="customer 216"/>
    <s v="Senior Project Manager"/>
    <s v="5 years"/>
    <x v="0"/>
    <n v="150000"/>
    <s v="none"/>
    <s v="Source Verified"/>
    <s v="112xx"/>
    <s v="NY"/>
    <n v="7899"/>
    <x v="215"/>
  </r>
  <r>
    <s v="customer 217"/>
    <s v="Super"/>
    <s v="5 years"/>
    <x v="0"/>
    <n v="35000"/>
    <s v="none"/>
    <s v="Verified"/>
    <s v="112xx"/>
    <s v="NY"/>
    <n v="786"/>
    <x v="216"/>
  </r>
  <r>
    <s v="customer 218"/>
    <s v="None"/>
    <s v="5 years"/>
    <x v="0"/>
    <n v="85000"/>
    <s v="none"/>
    <s v="Verified"/>
    <s v="112xx"/>
    <s v="NY"/>
    <n v="2274"/>
    <x v="217"/>
  </r>
  <r>
    <s v="customer 219"/>
    <s v="Teacher Assistant"/>
    <s v="5 years"/>
    <x v="0"/>
    <n v="41000"/>
    <s v="none"/>
    <s v="Verified"/>
    <s v="112xx"/>
    <s v="NY"/>
    <n v="2735"/>
    <x v="218"/>
  </r>
  <r>
    <s v="customer 220"/>
    <s v="Sales Associate "/>
    <s v="5 years"/>
    <x v="0"/>
    <n v="39500"/>
    <s v="none"/>
    <s v="Not Verified"/>
    <s v="112xx"/>
    <s v="NY"/>
    <n v="2000"/>
    <x v="219"/>
  </r>
  <r>
    <s v="customer 221"/>
    <s v="Store Manger "/>
    <s v="5 years"/>
    <x v="0"/>
    <n v="49000"/>
    <s v="none"/>
    <s v="Not Verified"/>
    <s v="112xx"/>
    <s v="NY"/>
    <n v="4623"/>
    <x v="220"/>
  </r>
  <r>
    <s v="customer 222"/>
    <s v="Accounting "/>
    <s v="5 years"/>
    <x v="0"/>
    <n v="120000"/>
    <s v="24nonenonenonenone"/>
    <s v="Source Verified"/>
    <s v="112xx"/>
    <s v="NY"/>
    <n v="513"/>
    <x v="221"/>
  </r>
  <r>
    <s v="customer 223"/>
    <s v="None"/>
    <s v="5 years"/>
    <x v="0"/>
    <n v="150000"/>
    <s v="none"/>
    <s v="Source Verified"/>
    <s v="112xx"/>
    <s v="NY"/>
    <n v="3990"/>
    <x v="222"/>
  </r>
  <r>
    <s v="customer 224"/>
    <s v="Manager"/>
    <s v="5 years"/>
    <x v="1"/>
    <n v="52000"/>
    <s v="none"/>
    <s v="Source Verified"/>
    <s v="112xx"/>
    <s v="NY"/>
    <n v="2163"/>
    <x v="223"/>
  </r>
  <r>
    <s v="customer 225"/>
    <s v="Home Attendant"/>
    <s v="5 years"/>
    <x v="0"/>
    <n v="24000"/>
    <s v="none"/>
    <s v="Not Verified"/>
    <s v="112xx"/>
    <s v="NY"/>
    <n v="1715"/>
    <x v="224"/>
  </r>
  <r>
    <s v="customer 226"/>
    <s v="None"/>
    <s v="none"/>
    <x v="0"/>
    <n v="95000"/>
    <s v="none"/>
    <s v="Verified"/>
    <s v="077xx"/>
    <s v="NJ"/>
    <n v="3946"/>
    <x v="225"/>
  </r>
  <r>
    <s v="customer 227"/>
    <s v="None"/>
    <s v="none"/>
    <x v="1"/>
    <n v="40000"/>
    <s v="none"/>
    <s v="Not Verified"/>
    <s v="481xx"/>
    <s v="MI"/>
    <n v="5288"/>
    <x v="226"/>
  </r>
  <r>
    <s v="customer 228"/>
    <s v="Lamination And Mounting Technician "/>
    <s v="5 years"/>
    <x v="2"/>
    <n v="55000"/>
    <s v="13nonenonenonenone"/>
    <s v="Not Verified"/>
    <s v="112xx"/>
    <s v="NY"/>
    <n v="494"/>
    <x v="227"/>
  </r>
  <r>
    <s v="customer 229"/>
    <s v="Paraprofessional"/>
    <s v="5 years"/>
    <x v="2"/>
    <n v="40000"/>
    <s v="none"/>
    <s v="Source Verified"/>
    <s v="112xx"/>
    <s v="NY"/>
    <n v="2482"/>
    <x v="228"/>
  </r>
  <r>
    <s v="customer 230"/>
    <s v="Billing Supervisor"/>
    <s v="5 years"/>
    <x v="0"/>
    <n v="52500"/>
    <s v="none"/>
    <s v="Verified"/>
    <s v="112xx"/>
    <s v="NY"/>
    <n v="2743"/>
    <x v="229"/>
  </r>
  <r>
    <s v="customer 231"/>
    <s v="Security Guard"/>
    <s v="5 years"/>
    <x v="2"/>
    <n v="45000"/>
    <s v="none"/>
    <s v="Not Verified"/>
    <s v="112xx"/>
    <s v="NY"/>
    <n v="2927"/>
    <x v="230"/>
  </r>
  <r>
    <s v="customer 232"/>
    <s v="Home Health Aid"/>
    <s v="5 years"/>
    <x v="0"/>
    <n v="42800"/>
    <s v="none"/>
    <s v="Verified"/>
    <s v="112xx"/>
    <s v="NY"/>
    <n v="3194"/>
    <x v="231"/>
  </r>
  <r>
    <s v="customer 233"/>
    <s v="Driver"/>
    <s v="5 years"/>
    <x v="0"/>
    <n v="55000"/>
    <s v="none"/>
    <s v="Not Verified"/>
    <s v="112xx"/>
    <s v="NY"/>
    <n v="2768"/>
    <x v="232"/>
  </r>
  <r>
    <s v="customer 234"/>
    <s v="Conductor"/>
    <s v="5 years"/>
    <x v="0"/>
    <n v="63000"/>
    <s v="none"/>
    <s v="Verified"/>
    <s v="112xx"/>
    <s v="NY"/>
    <n v="2537"/>
    <x v="233"/>
  </r>
  <r>
    <s v="customer 235"/>
    <s v="Administrative Assistant"/>
    <s v="5 years"/>
    <x v="0"/>
    <n v="35000"/>
    <s v="none"/>
    <s v="Source Verified"/>
    <s v="112xx"/>
    <s v="NY"/>
    <n v="5860"/>
    <x v="234"/>
  </r>
  <r>
    <s v="customer 236"/>
    <s v="Safety Officer"/>
    <s v="5 years"/>
    <x v="0"/>
    <n v="82000"/>
    <s v="159nonenonenone"/>
    <s v="Not Verified"/>
    <s v="112xx"/>
    <s v="NY"/>
    <n v="1378"/>
    <x v="235"/>
  </r>
  <r>
    <s v="customer 237"/>
    <s v="Homeattendant"/>
    <s v="5 years"/>
    <x v="0"/>
    <n v="14600"/>
    <s v="none"/>
    <s v="Source Verified"/>
    <s v="112xx"/>
    <s v="NY"/>
    <n v="1098"/>
    <x v="236"/>
  </r>
  <r>
    <s v="customer 238"/>
    <s v="None"/>
    <s v="none"/>
    <x v="0"/>
    <n v="60000"/>
    <s v="none"/>
    <s v="Verified"/>
    <s v="481xx"/>
    <s v="MI"/>
    <n v="2717"/>
    <x v="237"/>
  </r>
  <r>
    <s v="customer 239"/>
    <s v="Bank Teller"/>
    <s v="5 years"/>
    <x v="2"/>
    <n v="30000"/>
    <s v="none"/>
    <s v="Source Verified"/>
    <s v="112xx"/>
    <s v="NY"/>
    <n v="2455"/>
    <x v="238"/>
  </r>
  <r>
    <s v="customer 240"/>
    <s v="Front Desk Receptional"/>
    <s v="5 years"/>
    <x v="0"/>
    <n v="62000"/>
    <s v="none"/>
    <s v="Source Verified"/>
    <s v="112xx"/>
    <s v="NY"/>
    <n v="2173"/>
    <x v="239"/>
  </r>
  <r>
    <s v="customer 241"/>
    <s v="Assistant Store Manager"/>
    <s v="5 years"/>
    <x v="2"/>
    <n v="25000"/>
    <s v="none"/>
    <s v="Not Verified"/>
    <s v="112xx"/>
    <s v="NY"/>
    <n v="2472"/>
    <x v="240"/>
  </r>
  <r>
    <s v="customer 242"/>
    <s v="Teacher"/>
    <s v="5 years"/>
    <x v="0"/>
    <n v="95000"/>
    <s v="none"/>
    <s v="Source Verified"/>
    <s v="112xx"/>
    <s v="NY"/>
    <n v="9656"/>
    <x v="241"/>
  </r>
  <r>
    <s v="customer 243"/>
    <s v="Manager"/>
    <s v="5 years"/>
    <x v="0"/>
    <n v="84000"/>
    <s v="none"/>
    <s v="Not Verified"/>
    <s v="112xx"/>
    <s v="NY"/>
    <n v="7198"/>
    <x v="242"/>
  </r>
  <r>
    <s v="customer 244"/>
    <s v="Teacher"/>
    <s v="5 years"/>
    <x v="0"/>
    <n v="80000"/>
    <s v="none"/>
    <s v="Verified"/>
    <s v="112xx"/>
    <s v="NY"/>
    <n v="3938"/>
    <x v="243"/>
  </r>
  <r>
    <s v="customer 245"/>
    <s v="Associate Tech"/>
    <s v="5 years"/>
    <x v="0"/>
    <n v="110000"/>
    <s v="none"/>
    <s v="Source Verified"/>
    <s v="112xx"/>
    <s v="NY"/>
    <n v="3970"/>
    <x v="244"/>
  </r>
  <r>
    <s v="customer 246"/>
    <s v="Teacher"/>
    <s v="5 years"/>
    <x v="2"/>
    <n v="60000"/>
    <s v="19nonenonenonenone"/>
    <s v="Source Verified"/>
    <s v="112xx"/>
    <s v="NY"/>
    <n v="4905"/>
    <x v="245"/>
  </r>
  <r>
    <s v="customer 247"/>
    <s v="Construction Superintendent "/>
    <s v="5 years"/>
    <x v="2"/>
    <n v="80000"/>
    <s v="none"/>
    <s v="Verified"/>
    <s v="112xx"/>
    <s v="NY"/>
    <n v="3515"/>
    <x v="246"/>
  </r>
  <r>
    <s v="customer 248"/>
    <s v="Associate"/>
    <s v="5 years"/>
    <x v="0"/>
    <n v="54000"/>
    <s v="none"/>
    <s v="Not Verified"/>
    <s v="112xx"/>
    <s v="NY"/>
    <n v="915"/>
    <x v="247"/>
  </r>
  <r>
    <s v="customer 249"/>
    <s v="None"/>
    <s v="none"/>
    <x v="0"/>
    <n v="33500"/>
    <s v="67nonenonenone"/>
    <s v="Source Verified"/>
    <s v="481xx"/>
    <s v="MI"/>
    <n v="2331"/>
    <x v="248"/>
  </r>
  <r>
    <s v="customer 250"/>
    <s v="Bookkeeper"/>
    <s v="5 years"/>
    <x v="1"/>
    <n v="65000"/>
    <s v="none"/>
    <s v="Not Verified"/>
    <s v="112xx"/>
    <s v="NY"/>
    <n v="18429"/>
    <x v="249"/>
  </r>
  <r>
    <s v="customer 251"/>
    <s v="Lead Care Manager"/>
    <s v="5 years"/>
    <x v="0"/>
    <n v="50000"/>
    <s v="none"/>
    <s v="Not Verified"/>
    <s v="112xx"/>
    <s v="NY"/>
    <n v="976"/>
    <x v="250"/>
  </r>
  <r>
    <s v="customer 252"/>
    <s v="Optician "/>
    <s v="5 years"/>
    <x v="0"/>
    <n v="45000"/>
    <s v="none"/>
    <s v="Not Verified"/>
    <s v="112xx"/>
    <s v="NY"/>
    <n v="754"/>
    <x v="251"/>
  </r>
  <r>
    <s v="customer 253"/>
    <s v="Security Officer/Bank Supervisor"/>
    <s v="5 years"/>
    <x v="1"/>
    <n v="9300086"/>
    <s v="none"/>
    <s v="Not Verified"/>
    <s v="112xx"/>
    <s v="NY"/>
    <n v="27919"/>
    <x v="252"/>
  </r>
  <r>
    <s v="customer 254"/>
    <s v="Mechanic"/>
    <s v="5 years"/>
    <x v="0"/>
    <n v="75000"/>
    <s v="none"/>
    <s v="Not Verified"/>
    <s v="112xx"/>
    <s v="NY"/>
    <n v="2269"/>
    <x v="253"/>
  </r>
  <r>
    <s v="customer 255"/>
    <s v="Practicepro Software Systems"/>
    <s v="5 years"/>
    <x v="0"/>
    <n v="55000"/>
    <s v="none"/>
    <s v="Not Verified"/>
    <s v="112xx"/>
    <s v="NY"/>
    <n v="588"/>
    <x v="254"/>
  </r>
  <r>
    <s v="customer 256"/>
    <s v="Dietary Aide"/>
    <s v="5 years"/>
    <x v="0"/>
    <n v="38000"/>
    <s v="none"/>
    <s v="Source Verified"/>
    <s v="112xx"/>
    <s v="NY"/>
    <n v="3186"/>
    <x v="255"/>
  </r>
  <r>
    <s v="customer 257"/>
    <s v="Bus Driver"/>
    <s v="5 years"/>
    <x v="0"/>
    <n v="67000"/>
    <s v="none"/>
    <s v="Verified"/>
    <s v="112xx"/>
    <s v="NY"/>
    <n v="3776"/>
    <x v="256"/>
  </r>
  <r>
    <s v="customer 258"/>
    <s v="Prizim Inc."/>
    <s v="5 years"/>
    <x v="0"/>
    <n v="65000"/>
    <s v="none"/>
    <s v="Not Verified"/>
    <s v="112xx"/>
    <s v="NY"/>
    <n v="6290"/>
    <x v="257"/>
  </r>
  <r>
    <s v="customer 259"/>
    <s v="Administrative Manager"/>
    <s v="5 years"/>
    <x v="0"/>
    <n v="42000"/>
    <s v="none"/>
    <s v="Source Verified"/>
    <s v="112xx"/>
    <s v="NY"/>
    <n v="2443"/>
    <x v="258"/>
  </r>
  <r>
    <s v="customer 260"/>
    <s v="None"/>
    <s v="none"/>
    <x v="2"/>
    <n v="80000"/>
    <s v="none"/>
    <s v="Verified"/>
    <s v="481xx"/>
    <s v="MI"/>
    <n v="27744"/>
    <x v="259"/>
  </r>
  <r>
    <s v="customer 261"/>
    <s v="Hr Manager"/>
    <s v="5 years"/>
    <x v="0"/>
    <n v="60000"/>
    <s v="none"/>
    <s v="Source Verified"/>
    <s v="112xx"/>
    <s v="NY"/>
    <n v="2032"/>
    <x v="260"/>
  </r>
  <r>
    <s v="customer 262"/>
    <s v="Teacher"/>
    <s v="5 years"/>
    <x v="0"/>
    <n v="68000"/>
    <s v="none"/>
    <s v="Source Verified"/>
    <s v="112xx"/>
    <s v="NY"/>
    <n v="2892"/>
    <x v="261"/>
  </r>
  <r>
    <s v="customer 263"/>
    <s v="Executive"/>
    <s v="5 years"/>
    <x v="0"/>
    <n v="158218"/>
    <s v="none"/>
    <s v="Not Verified"/>
    <s v="112xx"/>
    <s v="NY"/>
    <n v="883"/>
    <x v="262"/>
  </r>
  <r>
    <s v="customer 264"/>
    <s v="Interactive Development Manager"/>
    <s v="5 years"/>
    <x v="0"/>
    <n v="130000"/>
    <s v="none"/>
    <s v="Source Verified"/>
    <s v="112xx"/>
    <s v="NY"/>
    <n v="1797"/>
    <x v="263"/>
  </r>
  <r>
    <s v="customer 265"/>
    <s v="Radio Engineer"/>
    <s v="5 years"/>
    <x v="1"/>
    <n v="92000"/>
    <s v="none"/>
    <s v="Not Verified"/>
    <s v="112xx"/>
    <s v="NY"/>
    <n v="56524"/>
    <x v="264"/>
  </r>
  <r>
    <s v="customer 266"/>
    <s v="Teltech Communications"/>
    <s v="5 years"/>
    <x v="0"/>
    <n v="70000"/>
    <s v="none"/>
    <s v="Source Verified"/>
    <s v="112xx"/>
    <s v="NY"/>
    <n v="6091"/>
    <x v="265"/>
  </r>
  <r>
    <s v="customer 267"/>
    <s v="Investment Associate"/>
    <s v="5 years"/>
    <x v="2"/>
    <n v="135000"/>
    <s v="none"/>
    <s v="Source Verified"/>
    <s v="112xx"/>
    <s v="NY"/>
    <n v="9243"/>
    <x v="266"/>
  </r>
  <r>
    <s v="customer 268"/>
    <s v="Owner"/>
    <s v="5 years"/>
    <x v="0"/>
    <n v="100000"/>
    <s v="none"/>
    <s v="Source Verified"/>
    <s v="112xx"/>
    <s v="NY"/>
    <n v="4388"/>
    <x v="267"/>
  </r>
  <r>
    <s v="customer 269"/>
    <s v="Rn"/>
    <s v="5 years"/>
    <x v="0"/>
    <n v="80000"/>
    <s v="none"/>
    <s v="Source Verified"/>
    <s v="112xx"/>
    <s v="NY"/>
    <n v="4467"/>
    <x v="268"/>
  </r>
  <r>
    <s v="customer 270"/>
    <s v="Patient Care Technician "/>
    <s v="5 years"/>
    <x v="0"/>
    <n v="60000"/>
    <s v="none"/>
    <s v="Source Verified"/>
    <s v="112xx"/>
    <s v="NY"/>
    <n v="3154"/>
    <x v="269"/>
  </r>
  <r>
    <s v="customer 271"/>
    <s v="None"/>
    <s v="none"/>
    <x v="0"/>
    <n v="14664"/>
    <s v="none"/>
    <s v="Verified"/>
    <s v="481xx"/>
    <s v="MI"/>
    <n v="783"/>
    <x v="270"/>
  </r>
  <r>
    <s v="customer 272"/>
    <s v="Station Cleaner "/>
    <s v="5 years"/>
    <x v="0"/>
    <n v="65000"/>
    <s v="none"/>
    <s v="Source Verified"/>
    <s v="112xx"/>
    <s v="NY"/>
    <n v="5069"/>
    <x v="271"/>
  </r>
  <r>
    <s v="customer 273"/>
    <s v="X-Ray Technologist "/>
    <s v="5 years"/>
    <x v="0"/>
    <n v="58000"/>
    <s v="none"/>
    <s v="Source Verified"/>
    <s v="112xx"/>
    <s v="NY"/>
    <n v="6419"/>
    <x v="272"/>
  </r>
  <r>
    <s v="customer 274"/>
    <s v="Visiting Nurse Service Of New York"/>
    <s v="5 years"/>
    <x v="0"/>
    <n v="35363"/>
    <s v="none"/>
    <s v="Source Verified"/>
    <s v="112xx"/>
    <s v="NY"/>
    <n v="1359"/>
    <x v="273"/>
  </r>
  <r>
    <s v="customer 275"/>
    <s v="Cna/Hha"/>
    <s v="5 years"/>
    <x v="0"/>
    <n v="35000"/>
    <s v="none"/>
    <s v="Source Verified"/>
    <s v="112xx"/>
    <s v="NY"/>
    <n v="2214"/>
    <x v="274"/>
  </r>
  <r>
    <s v="customer 276"/>
    <s v="Freelance Photographer"/>
    <s v="5 years"/>
    <x v="0"/>
    <n v="80000"/>
    <s v="none"/>
    <s v="Not Verified"/>
    <s v="112xx"/>
    <s v="NY"/>
    <n v="2715"/>
    <x v="275"/>
  </r>
  <r>
    <s v="customer 277"/>
    <s v="Police Officer"/>
    <s v="5 years"/>
    <x v="0"/>
    <n v="98200"/>
    <s v="none"/>
    <s v="Not Verified"/>
    <s v="112xx"/>
    <s v="NY"/>
    <n v="2931"/>
    <x v="276"/>
  </r>
  <r>
    <s v="customer 278"/>
    <s v="Ceo"/>
    <s v="5 years"/>
    <x v="0"/>
    <n v="495000"/>
    <s v="none"/>
    <s v="Source Verified"/>
    <s v="112xx"/>
    <s v="NY"/>
    <n v="6362"/>
    <x v="277"/>
  </r>
  <r>
    <s v="customer 279"/>
    <s v="School Bus "/>
    <s v="5 years"/>
    <x v="0"/>
    <n v="31200"/>
    <s v="none"/>
    <s v="Source Verified"/>
    <s v="112xx"/>
    <s v="NY"/>
    <n v="262"/>
    <x v="278"/>
  </r>
  <r>
    <s v="customer 280"/>
    <s v="Lpn"/>
    <s v="5 years"/>
    <x v="0"/>
    <n v="42000"/>
    <s v="none"/>
    <s v="Verified"/>
    <s v="112xx"/>
    <s v="NY"/>
    <n v="5418"/>
    <x v="279"/>
  </r>
  <r>
    <s v="customer 281"/>
    <s v="Manager"/>
    <s v="5 years"/>
    <x v="0"/>
    <n v="84000"/>
    <s v="none"/>
    <s v="Verified"/>
    <s v="112xx"/>
    <s v="NY"/>
    <n v="31"/>
    <x v="280"/>
  </r>
  <r>
    <s v="customer 282"/>
    <s v="None"/>
    <s v="none"/>
    <x v="0"/>
    <n v="20000"/>
    <s v="15nonenonenonenone"/>
    <s v="Source Verified"/>
    <s v="481xx"/>
    <s v="MI"/>
    <n v="427"/>
    <x v="281"/>
  </r>
  <r>
    <s v="customer 283"/>
    <s v="Social Worker"/>
    <s v="5 years"/>
    <x v="0"/>
    <n v="55000"/>
    <s v="none"/>
    <s v="Verified"/>
    <s v="112xx"/>
    <s v="NY"/>
    <n v="2758"/>
    <x v="282"/>
  </r>
  <r>
    <s v="customer 284"/>
    <s v="Medical Biller"/>
    <s v="5 years"/>
    <x v="0"/>
    <n v="45000"/>
    <s v="none"/>
    <s v="Source Verified"/>
    <s v="112xx"/>
    <s v="NY"/>
    <n v="3634"/>
    <x v="283"/>
  </r>
  <r>
    <s v="customer 285"/>
    <s v="Director Of Facility"/>
    <s v="5 years"/>
    <x v="0"/>
    <n v="90000"/>
    <s v="none"/>
    <s v="Source Verified"/>
    <s v="112xx"/>
    <s v="NY"/>
    <n v="9657"/>
    <x v="284"/>
  </r>
  <r>
    <s v="customer 286"/>
    <s v="Furniture Maker"/>
    <s v="5 years"/>
    <x v="0"/>
    <n v="60000"/>
    <s v="none"/>
    <s v="Not Verified"/>
    <s v="112xx"/>
    <s v="NY"/>
    <n v="1947"/>
    <x v="285"/>
  </r>
  <r>
    <s v="customer 287"/>
    <s v="Credential Associate"/>
    <s v="5 years"/>
    <x v="0"/>
    <n v="46000"/>
    <s v="none"/>
    <s v="Source Verified"/>
    <s v="112xx"/>
    <s v="NY"/>
    <n v="209"/>
    <x v="286"/>
  </r>
  <r>
    <s v="customer 288"/>
    <s v="Warehouse Manager "/>
    <s v="5 years"/>
    <x v="0"/>
    <n v="35000"/>
    <s v="none"/>
    <s v="Not Verified"/>
    <s v="112xx"/>
    <s v="NY"/>
    <n v="6762"/>
    <x v="287"/>
  </r>
  <r>
    <s v="customer 289"/>
    <s v="Art Director"/>
    <s v="5 years"/>
    <x v="0"/>
    <n v="155000"/>
    <s v="none"/>
    <s v="Source Verified"/>
    <s v="112xx"/>
    <s v="NY"/>
    <n v="2542"/>
    <x v="288"/>
  </r>
  <r>
    <s v="customer 290"/>
    <s v="Legal Secretary"/>
    <s v="5 years"/>
    <x v="0"/>
    <n v="65000"/>
    <s v="none"/>
    <s v="Source Verified"/>
    <s v="112xx"/>
    <s v="NY"/>
    <n v="5973"/>
    <x v="289"/>
  </r>
  <r>
    <s v="customer 291"/>
    <s v="Register Nurse"/>
    <s v="5 years"/>
    <x v="0"/>
    <n v="165000"/>
    <s v="253nonenonenone"/>
    <s v="Not Verified"/>
    <s v="112xx"/>
    <s v="NY"/>
    <n v="13875"/>
    <x v="290"/>
  </r>
  <r>
    <s v="customer 292"/>
    <s v="Offset Printing Operator"/>
    <s v="5 years"/>
    <x v="2"/>
    <n v="65000"/>
    <s v="none"/>
    <s v="Not Verified"/>
    <s v="112xx"/>
    <s v="NY"/>
    <n v="4343"/>
    <x v="291"/>
  </r>
  <r>
    <s v="customer 293"/>
    <s v="None"/>
    <s v="none"/>
    <x v="2"/>
    <n v="59000"/>
    <s v="none"/>
    <s v="Verified"/>
    <s v="481xx"/>
    <s v="MI"/>
    <n v="1641"/>
    <x v="292"/>
  </r>
  <r>
    <s v="customer 294"/>
    <s v="Pharmacist"/>
    <s v="5 years"/>
    <x v="0"/>
    <n v="100000"/>
    <s v="none"/>
    <s v="Source Verified"/>
    <s v="112xx"/>
    <s v="NY"/>
    <n v="10628"/>
    <x v="293"/>
  </r>
  <r>
    <s v="customer 295"/>
    <s v="Constructor"/>
    <s v="5 years"/>
    <x v="0"/>
    <n v="33000"/>
    <s v="none"/>
    <s v="Verified"/>
    <s v="112xx"/>
    <s v="NY"/>
    <n v="1085"/>
    <x v="294"/>
  </r>
  <r>
    <s v="customer 296"/>
    <s v="Lpn"/>
    <s v="5 years"/>
    <x v="0"/>
    <n v="76000"/>
    <s v="none"/>
    <s v="Verified"/>
    <s v="112xx"/>
    <s v="NY"/>
    <n v="3341"/>
    <x v="295"/>
  </r>
  <r>
    <s v="customer 297"/>
    <s v="Tiaa-Cref"/>
    <s v="5 years"/>
    <x v="0"/>
    <n v="84000"/>
    <s v="none"/>
    <s v="Source Verified"/>
    <s v="112xx"/>
    <s v="NY"/>
    <n v="1246"/>
    <x v="296"/>
  </r>
  <r>
    <s v="customer 298"/>
    <s v="Certified Nursing Assistant"/>
    <s v="5 years"/>
    <x v="0"/>
    <n v="36000"/>
    <s v="none"/>
    <s v="Not Verified"/>
    <s v="112xx"/>
    <s v="NY"/>
    <n v="2227"/>
    <x v="297"/>
  </r>
  <r>
    <s v="customer 299"/>
    <s v="Physical Therapist"/>
    <s v="5 years"/>
    <x v="0"/>
    <n v="63000"/>
    <s v="none"/>
    <s v="Not Verified"/>
    <s v="112xx"/>
    <s v="NY"/>
    <n v="12442"/>
    <x v="298"/>
  </r>
  <r>
    <s v="customer 300"/>
    <s v="Director"/>
    <s v="5 years"/>
    <x v="0"/>
    <n v="275000"/>
    <s v="none"/>
    <s v="Verified"/>
    <s v="112xx"/>
    <s v="NY"/>
    <n v="6379"/>
    <x v="299"/>
  </r>
  <r>
    <s v="customer 301"/>
    <s v="Public Health Sanitarian"/>
    <s v="5 years"/>
    <x v="2"/>
    <n v="60000"/>
    <s v="none"/>
    <s v="Verified"/>
    <s v="112xx"/>
    <s v="NY"/>
    <n v="2644"/>
    <x v="300"/>
  </r>
  <r>
    <s v="customer 302"/>
    <s v="Director "/>
    <s v="5 years"/>
    <x v="2"/>
    <n v="50000"/>
    <s v="none"/>
    <s v="Not Verified"/>
    <s v="112xx"/>
    <s v="NY"/>
    <n v="1737"/>
    <x v="301"/>
  </r>
  <r>
    <s v="customer 303"/>
    <s v="Senior Tax Manager"/>
    <s v="5 years"/>
    <x v="0"/>
    <n v="105000"/>
    <s v="none"/>
    <s v="Source Verified"/>
    <s v="112xx"/>
    <s v="NY"/>
    <n v="2752"/>
    <x v="302"/>
  </r>
  <r>
    <s v="customer 304"/>
    <s v="None"/>
    <s v="none"/>
    <x v="1"/>
    <n v="42885"/>
    <s v="none"/>
    <s v="Verified"/>
    <s v="481xx"/>
    <s v="MI"/>
    <n v="14992"/>
    <x v="303"/>
  </r>
  <r>
    <s v="customer 305"/>
    <s v="Court Officer"/>
    <s v="5 years"/>
    <x v="0"/>
    <n v="58000"/>
    <s v="none"/>
    <s v="Verified"/>
    <s v="112xx"/>
    <s v="NY"/>
    <n v="679"/>
    <x v="304"/>
  </r>
  <r>
    <s v="customer 306"/>
    <s v="Manager"/>
    <s v="5 years"/>
    <x v="0"/>
    <n v="35000"/>
    <s v="none"/>
    <s v="Verified"/>
    <s v="112xx"/>
    <s v="NY"/>
    <n v="1402"/>
    <x v="305"/>
  </r>
  <r>
    <s v="customer 307"/>
    <s v="Supervisor"/>
    <s v="5 years"/>
    <x v="0"/>
    <n v="25000"/>
    <s v="none"/>
    <s v="Not Verified"/>
    <s v="112xx"/>
    <s v="NY"/>
    <n v="671"/>
    <x v="306"/>
  </r>
  <r>
    <s v="customer 308"/>
    <s v="Special Education Preschool Teacher "/>
    <s v="5 years"/>
    <x v="0"/>
    <n v="55000"/>
    <s v="none"/>
    <s v="Not Verified"/>
    <s v="112xx"/>
    <s v="NY"/>
    <n v="2230"/>
    <x v="307"/>
  </r>
  <r>
    <s v="customer 309"/>
    <s v="Analyst"/>
    <s v="5 years"/>
    <x v="0"/>
    <n v="120000"/>
    <s v="none"/>
    <s v="Not Verified"/>
    <s v="112xx"/>
    <s v="NY"/>
    <n v="5431"/>
    <x v="308"/>
  </r>
  <r>
    <s v="customer 310"/>
    <s v="Information Technology Specilist"/>
    <s v="5 years"/>
    <x v="2"/>
    <n v="117000"/>
    <s v="none"/>
    <s v="Source Verified"/>
    <s v="112xx"/>
    <s v="NY"/>
    <n v="36591"/>
    <x v="309"/>
  </r>
  <r>
    <s v="customer 311"/>
    <s v="Shift Supervisor"/>
    <s v="5 years"/>
    <x v="2"/>
    <n v="25000"/>
    <s v="none"/>
    <s v="Source Verified"/>
    <s v="112xx"/>
    <s v="NY"/>
    <n v="1690"/>
    <x v="310"/>
  </r>
  <r>
    <s v="customer 312"/>
    <s v="Tax Preparer "/>
    <s v="5 years"/>
    <x v="0"/>
    <n v="28800"/>
    <s v="none"/>
    <s v="Verified"/>
    <s v="112xx"/>
    <s v="NY"/>
    <n v="953"/>
    <x v="311"/>
  </r>
  <r>
    <s v="customer 313"/>
    <s v="Executive Assistant "/>
    <s v="5 years"/>
    <x v="0"/>
    <n v="75000"/>
    <s v="none"/>
    <s v="Source Verified"/>
    <s v="112xx"/>
    <s v="NY"/>
    <n v="1549"/>
    <x v="312"/>
  </r>
  <r>
    <s v="customer 314"/>
    <s v="School Lunch Helper"/>
    <s v="5 years"/>
    <x v="0"/>
    <n v="34000"/>
    <s v="none"/>
    <s v="Source Verified"/>
    <s v="112xx"/>
    <s v="NY"/>
    <n v="561"/>
    <x v="313"/>
  </r>
  <r>
    <s v="customer 315"/>
    <s v="None"/>
    <s v="none"/>
    <x v="1"/>
    <n v="42000"/>
    <s v="132nonenonenone"/>
    <s v="Not Verified"/>
    <s v="481xx"/>
    <s v="MI"/>
    <n v="55086"/>
    <x v="314"/>
  </r>
  <r>
    <s v="customer 316"/>
    <s v="Service Manager"/>
    <s v="5 years"/>
    <x v="0"/>
    <n v="50000"/>
    <s v="none"/>
    <s v="Verified"/>
    <s v="112xx"/>
    <s v="NY"/>
    <n v="1596"/>
    <x v="315"/>
  </r>
  <r>
    <s v="customer 317"/>
    <s v="Construction Laborer"/>
    <s v="5 years"/>
    <x v="0"/>
    <n v="60000"/>
    <s v="none"/>
    <s v="Not Verified"/>
    <s v="112xx"/>
    <s v="NY"/>
    <n v="1269"/>
    <x v="316"/>
  </r>
  <r>
    <s v="customer 318"/>
    <s v="Team Assistant"/>
    <s v="5 years"/>
    <x v="0"/>
    <n v="38000"/>
    <s v="none"/>
    <s v="Verified"/>
    <s v="112xx"/>
    <s v="NY"/>
    <n v="23791"/>
    <x v="317"/>
  </r>
  <r>
    <s v="customer 319"/>
    <s v="Office Manager"/>
    <s v="5 years"/>
    <x v="0"/>
    <n v="70000"/>
    <s v="none"/>
    <s v="Source Verified"/>
    <s v="112xx"/>
    <s v="NY"/>
    <n v="1446"/>
    <x v="318"/>
  </r>
  <r>
    <s v="customer 320"/>
    <s v="Coo"/>
    <s v="5 years"/>
    <x v="0"/>
    <n v="150000"/>
    <s v="none"/>
    <s v="Not Verified"/>
    <s v="112xx"/>
    <s v="NY"/>
    <n v="1432"/>
    <x v="319"/>
  </r>
  <r>
    <s v="customer 321"/>
    <s v="Accounting Clerk"/>
    <s v="5 years"/>
    <x v="0"/>
    <n v="60000"/>
    <s v="none"/>
    <s v="Source Verified"/>
    <s v="112xx"/>
    <s v="NY"/>
    <n v="34007"/>
    <x v="320"/>
  </r>
  <r>
    <s v="customer 322"/>
    <s v="Producer "/>
    <s v="5 years"/>
    <x v="1"/>
    <n v="70000"/>
    <s v="none"/>
    <s v="Not Verified"/>
    <s v="112xx"/>
    <s v="NY"/>
    <n v="13213"/>
    <x v="321"/>
  </r>
  <r>
    <s v="customer 323"/>
    <s v="Home Health Aid"/>
    <s v="5 years"/>
    <x v="0"/>
    <n v="41600"/>
    <s v="none"/>
    <s v="Not Verified"/>
    <s v="112xx"/>
    <s v="NY"/>
    <n v="3122"/>
    <x v="322"/>
  </r>
  <r>
    <s v="customer 324"/>
    <s v="Svp, Group Account Director"/>
    <s v="5 years"/>
    <x v="1"/>
    <n v="195000"/>
    <s v="none"/>
    <s v="Not Verified"/>
    <s v="112xx"/>
    <s v="NY"/>
    <n v="27632"/>
    <x v="323"/>
  </r>
  <r>
    <s v="customer 325"/>
    <s v="Driver"/>
    <s v="5 years"/>
    <x v="2"/>
    <n v="120000"/>
    <s v="none"/>
    <s v="Source Verified"/>
    <s v="112xx"/>
    <s v="NY"/>
    <n v="3169"/>
    <x v="324"/>
  </r>
  <r>
    <s v="customer 326"/>
    <s v="None"/>
    <s v="none"/>
    <x v="1"/>
    <n v="191900"/>
    <s v="none"/>
    <s v="Verified"/>
    <s v="481xx"/>
    <s v="MI"/>
    <n v="33946"/>
    <x v="325"/>
  </r>
  <r>
    <s v="customer 327"/>
    <s v="Station Manager"/>
    <s v="5 years"/>
    <x v="0"/>
    <n v="80000"/>
    <s v="none"/>
    <s v="Verified"/>
    <s v="112xx"/>
    <s v="NY"/>
    <n v="3112"/>
    <x v="326"/>
  </r>
  <r>
    <s v="customer 328"/>
    <s v="Teacher"/>
    <s v="5 years"/>
    <x v="1"/>
    <n v="79484"/>
    <s v="none"/>
    <s v="Verified"/>
    <s v="112xx"/>
    <s v="NY"/>
    <n v="15948"/>
    <x v="327"/>
  </r>
  <r>
    <s v="customer 329"/>
    <s v="Yoga Teacher "/>
    <s v="5 years"/>
    <x v="0"/>
    <n v="30000"/>
    <s v="none"/>
    <s v="Not Verified"/>
    <s v="112xx"/>
    <s v="NY"/>
    <n v="3341"/>
    <x v="328"/>
  </r>
  <r>
    <s v="customer 330"/>
    <s v="Property Manager "/>
    <s v="5 years"/>
    <x v="0"/>
    <n v="105000"/>
    <s v="none"/>
    <s v="Not Verified"/>
    <s v="112xx"/>
    <s v="NY"/>
    <n v="9165"/>
    <x v="329"/>
  </r>
  <r>
    <s v="customer 331"/>
    <s v="Counselor"/>
    <s v="5 years"/>
    <x v="0"/>
    <n v="30000"/>
    <s v="none"/>
    <s v="Not Verified"/>
    <s v="112xx"/>
    <s v="NY"/>
    <n v="1761"/>
    <x v="330"/>
  </r>
  <r>
    <s v="customer 332"/>
    <s v="Administrative Assistant "/>
    <s v="5 years"/>
    <x v="0"/>
    <n v="46000"/>
    <s v="none"/>
    <s v="Source Verified"/>
    <s v="112xx"/>
    <s v="NY"/>
    <n v="1432"/>
    <x v="331"/>
  </r>
  <r>
    <s v="customer 333"/>
    <s v="Bus Driver"/>
    <s v="5 years"/>
    <x v="1"/>
    <n v="81000"/>
    <s v="none"/>
    <s v="Source Verified"/>
    <s v="112xx"/>
    <s v="NY"/>
    <n v="4993"/>
    <x v="332"/>
  </r>
  <r>
    <s v="customer 334"/>
    <s v="Co Sales Manager"/>
    <s v="5 years"/>
    <x v="0"/>
    <n v="60000"/>
    <s v="none"/>
    <s v="Source Verified"/>
    <s v="112xx"/>
    <s v="NY"/>
    <n v="5798"/>
    <x v="333"/>
  </r>
  <r>
    <s v="customer 335"/>
    <s v="Chief Technology Officer"/>
    <s v="5 years"/>
    <x v="0"/>
    <n v="155000"/>
    <s v="none"/>
    <s v="Verified"/>
    <s v="112xx"/>
    <s v="NY"/>
    <n v="22645"/>
    <x v="334"/>
  </r>
  <r>
    <s v="customer 336"/>
    <s v="Driver"/>
    <s v="5 years"/>
    <x v="0"/>
    <n v="55000"/>
    <s v="none"/>
    <s v="Not Verified"/>
    <s v="112xx"/>
    <s v="NY"/>
    <n v="3575"/>
    <x v="335"/>
  </r>
  <r>
    <s v="customer 337"/>
    <s v="None"/>
    <s v="none"/>
    <x v="0"/>
    <n v="32000"/>
    <s v="none"/>
    <s v="Verified"/>
    <s v="077xx"/>
    <s v="NJ"/>
    <n v="1057"/>
    <x v="336"/>
  </r>
  <r>
    <s v="customer 338"/>
    <s v="None"/>
    <s v="none"/>
    <x v="1"/>
    <n v="29000"/>
    <s v="none"/>
    <s v="Not Verified"/>
    <s v="481xx"/>
    <s v="MI"/>
    <n v="755"/>
    <x v="337"/>
  </r>
  <r>
    <s v="customer 339"/>
    <s v="Bus Operater "/>
    <s v="5 years"/>
    <x v="0"/>
    <n v="66123"/>
    <s v="none"/>
    <s v="Verified"/>
    <s v="112xx"/>
    <s v="NY"/>
    <n v="15600"/>
    <x v="338"/>
  </r>
  <r>
    <s v="customer 340"/>
    <s v="Managing Partner"/>
    <s v="5 years"/>
    <x v="0"/>
    <n v="200000"/>
    <s v="none"/>
    <s v="Source Verified"/>
    <s v="112xx"/>
    <s v="NY"/>
    <n v="6243"/>
    <x v="339"/>
  </r>
  <r>
    <s v="customer 341"/>
    <s v="Home Attendant"/>
    <s v="5 years"/>
    <x v="0"/>
    <n v="22000"/>
    <s v="none"/>
    <s v="Source Verified"/>
    <s v="112xx"/>
    <s v="NY"/>
    <n v="15661"/>
    <x v="340"/>
  </r>
  <r>
    <s v="customer 342"/>
    <s v="Teller"/>
    <s v="5 years"/>
    <x v="0"/>
    <n v="22000"/>
    <s v="none"/>
    <s v="Source Verified"/>
    <s v="113xx"/>
    <s v="NY"/>
    <n v="4679"/>
    <x v="341"/>
  </r>
  <r>
    <s v="customer 343"/>
    <s v="Manager"/>
    <s v="5 years"/>
    <x v="0"/>
    <n v="65000"/>
    <s v="none"/>
    <s v="Source Verified"/>
    <s v="113xx"/>
    <s v="NY"/>
    <n v="3455"/>
    <x v="342"/>
  </r>
  <r>
    <s v="customer 344"/>
    <s v="Inventory Supervisor"/>
    <s v="5 years"/>
    <x v="0"/>
    <n v="52000"/>
    <s v="none"/>
    <s v="Source Verified"/>
    <s v="113xx"/>
    <s v="NY"/>
    <n v="3815"/>
    <x v="343"/>
  </r>
  <r>
    <s v="customer 345"/>
    <s v="Elearning Specialist"/>
    <s v="5 years"/>
    <x v="0"/>
    <n v="85000"/>
    <s v="none"/>
    <s v="Source Verified"/>
    <s v="113xx"/>
    <s v="NY"/>
    <n v="13498"/>
    <x v="344"/>
  </r>
  <r>
    <s v="customer 346"/>
    <s v="Admin Assistant"/>
    <s v="5 years"/>
    <x v="0"/>
    <n v="42500.120999999999"/>
    <s v="none"/>
    <s v="Not Verified"/>
    <s v="113xx"/>
    <s v="NY"/>
    <n v="733"/>
    <x v="345"/>
  </r>
  <r>
    <s v="customer 347"/>
    <s v="Grand Hyatt New York"/>
    <s v="5 years"/>
    <x v="0"/>
    <n v="66000"/>
    <s v="none"/>
    <s v="Verified"/>
    <s v="113xx"/>
    <s v="NY"/>
    <n v="3946"/>
    <x v="346"/>
  </r>
  <r>
    <s v="customer 348"/>
    <s v="Him Clerk "/>
    <s v="5 years"/>
    <x v="0"/>
    <n v="36400"/>
    <s v="none"/>
    <s v="Source Verified"/>
    <s v="113xx"/>
    <s v="NY"/>
    <n v="2357"/>
    <x v="347"/>
  </r>
  <r>
    <s v="customer 349"/>
    <s v="None"/>
    <s v="none"/>
    <x v="2"/>
    <n v="55000"/>
    <s v="none"/>
    <s v="Verified"/>
    <s v="481xx"/>
    <s v="MI"/>
    <n v="7612"/>
    <x v="348"/>
  </r>
  <r>
    <s v="customer 350"/>
    <s v="Maintenance "/>
    <s v="5 years"/>
    <x v="0"/>
    <n v="70000"/>
    <s v="none"/>
    <s v="Not Verified"/>
    <s v="113xx"/>
    <s v="NY"/>
    <n v="4134"/>
    <x v="349"/>
  </r>
  <r>
    <s v="customer 351"/>
    <s v="Customer Service "/>
    <s v="5 years"/>
    <x v="0"/>
    <n v="45000"/>
    <s v="none"/>
    <s v="Not Verified"/>
    <s v="113xx"/>
    <s v="NY"/>
    <n v="667"/>
    <x v="350"/>
  </r>
  <r>
    <s v="customer 352"/>
    <s v="Sws Of New York"/>
    <s v="5 years"/>
    <x v="0"/>
    <n v="80250"/>
    <s v="none"/>
    <s v="Verified"/>
    <s v="113xx"/>
    <s v="NY"/>
    <n v="6425"/>
    <x v="351"/>
  </r>
  <r>
    <s v="customer 353"/>
    <s v="Communications Planner"/>
    <s v="5 years"/>
    <x v="0"/>
    <n v="65000"/>
    <s v="none"/>
    <s v="Source Verified"/>
    <s v="113xx"/>
    <s v="NY"/>
    <n v="1464"/>
    <x v="352"/>
  </r>
  <r>
    <s v="customer 354"/>
    <s v="Home-Aid"/>
    <s v="5 years"/>
    <x v="0"/>
    <n v="60000"/>
    <s v="none"/>
    <s v="Not Verified"/>
    <s v="113xx"/>
    <s v="NY"/>
    <n v="1680"/>
    <x v="353"/>
  </r>
  <r>
    <s v="customer 355"/>
    <s v="Chashier"/>
    <s v="5 years"/>
    <x v="0"/>
    <n v="25000"/>
    <s v="none"/>
    <s v="Source Verified"/>
    <s v="113xx"/>
    <s v="NY"/>
    <n v="497"/>
    <x v="354"/>
  </r>
  <r>
    <s v="customer 356"/>
    <s v="Program Director"/>
    <s v="5 years"/>
    <x v="2"/>
    <n v="46000"/>
    <s v="none"/>
    <s v="Not Verified"/>
    <s v="113xx"/>
    <s v="NY"/>
    <n v="2242"/>
    <x v="355"/>
  </r>
  <r>
    <s v="customer 357"/>
    <s v="Customer Service"/>
    <s v="5 years"/>
    <x v="0"/>
    <n v="55000"/>
    <s v="none"/>
    <s v="Source Verified"/>
    <s v="113xx"/>
    <s v="NY"/>
    <n v="1298"/>
    <x v="356"/>
  </r>
  <r>
    <s v="customer 358"/>
    <s v="Research Associate"/>
    <s v="5 years"/>
    <x v="0"/>
    <n v="55000"/>
    <s v="none"/>
    <s v="Source Verified"/>
    <s v="113xx"/>
    <s v="NY"/>
    <n v="3504"/>
    <x v="357"/>
  </r>
  <r>
    <s v="customer 359"/>
    <s v="Carpenter"/>
    <s v="5 years"/>
    <x v="0"/>
    <n v="65000"/>
    <s v="none"/>
    <s v="Not Verified"/>
    <s v="113xx"/>
    <s v="NY"/>
    <n v="1954"/>
    <x v="358"/>
  </r>
  <r>
    <s v="customer 360"/>
    <s v="None"/>
    <s v="none"/>
    <x v="0"/>
    <n v="100000"/>
    <s v="2nonenonenonenonenone"/>
    <s v="Not Verified"/>
    <s v="481xx"/>
    <s v="MI"/>
    <n v="1266"/>
    <x v="359"/>
  </r>
  <r>
    <s v="customer 361"/>
    <s v="Registered Nurse"/>
    <s v="5 years"/>
    <x v="1"/>
    <n v="75000"/>
    <s v="175nonenonenone"/>
    <s v="Not Verified"/>
    <s v="113xx"/>
    <s v="NY"/>
    <n v="42699"/>
    <x v="360"/>
  </r>
  <r>
    <s v="customer 362"/>
    <s v="Public Information Office Supervisor"/>
    <s v="5 years"/>
    <x v="2"/>
    <n v="122000"/>
    <s v="none"/>
    <s v="Verified"/>
    <s v="113xx"/>
    <s v="NY"/>
    <n v="3505"/>
    <x v="361"/>
  </r>
  <r>
    <s v="customer 363"/>
    <s v="Project Manager"/>
    <s v="5 years"/>
    <x v="0"/>
    <n v="90000"/>
    <s v="185nonenonenone"/>
    <s v="Not Verified"/>
    <s v="113xx"/>
    <s v="NY"/>
    <n v="3194"/>
    <x v="362"/>
  </r>
  <r>
    <s v="customer 364"/>
    <s v="Senior Project Accountant"/>
    <s v="5 years"/>
    <x v="0"/>
    <n v="109000"/>
    <s v="none"/>
    <s v="Not Verified"/>
    <s v="113xx"/>
    <s v="NY"/>
    <n v="2817"/>
    <x v="363"/>
  </r>
  <r>
    <s v="customer 365"/>
    <s v="Fireman"/>
    <s v="5 years"/>
    <x v="0"/>
    <n v="140000"/>
    <s v="none"/>
    <s v="Source Verified"/>
    <s v="113xx"/>
    <s v="NY"/>
    <n v="371"/>
    <x v="364"/>
  </r>
  <r>
    <s v="customer 366"/>
    <s v="Road Driver"/>
    <s v="5 years"/>
    <x v="0"/>
    <n v="60000"/>
    <s v="none"/>
    <s v="Source Verified"/>
    <s v="113xx"/>
    <s v="NY"/>
    <n v="1708"/>
    <x v="365"/>
  </r>
  <r>
    <s v="customer 367"/>
    <s v="Beth Israel Medical Center"/>
    <s v="5 years"/>
    <x v="0"/>
    <n v="70000"/>
    <s v="none"/>
    <s v="Not Verified"/>
    <s v="113xx"/>
    <s v="NY"/>
    <n v="4725"/>
    <x v="366"/>
  </r>
  <r>
    <s v="customer 368"/>
    <s v="Driver"/>
    <s v="5 years"/>
    <x v="0"/>
    <n v="86000"/>
    <s v="none"/>
    <s v="Not Verified"/>
    <s v="113xx"/>
    <s v="NY"/>
    <n v="2415"/>
    <x v="367"/>
  </r>
  <r>
    <s v="customer 369"/>
    <s v="Area Manager"/>
    <s v="5 years"/>
    <x v="0"/>
    <n v="143000"/>
    <s v="none"/>
    <s v="Source Verified"/>
    <s v="113xx"/>
    <s v="NY"/>
    <n v="4149"/>
    <x v="368"/>
  </r>
  <r>
    <s v="customer 370"/>
    <s v="Housekeeper"/>
    <s v="5 years"/>
    <x v="0"/>
    <n v="38400"/>
    <s v="none"/>
    <s v="Not Verified"/>
    <s v="113xx"/>
    <s v="NY"/>
    <n v="6866"/>
    <x v="369"/>
  </r>
  <r>
    <s v="customer 371"/>
    <s v="None"/>
    <s v="none"/>
    <x v="2"/>
    <n v="15600"/>
    <s v="none"/>
    <s v="Verified"/>
    <s v="481xx"/>
    <s v="MI"/>
    <n v="419"/>
    <x v="370"/>
  </r>
  <r>
    <s v="customer 372"/>
    <s v="Senior Administrative Aide"/>
    <s v="5 years"/>
    <x v="0"/>
    <n v="42000"/>
    <s v="none"/>
    <s v="Source Verified"/>
    <s v="113xx"/>
    <s v="NY"/>
    <n v="997"/>
    <x v="371"/>
  </r>
  <r>
    <s v="customer 373"/>
    <s v="Registered Nurse"/>
    <s v="5 years"/>
    <x v="0"/>
    <n v="90000"/>
    <s v="none"/>
    <s v="Not Verified"/>
    <s v="113xx"/>
    <s v="NY"/>
    <n v="735"/>
    <x v="372"/>
  </r>
  <r>
    <s v="customer 374"/>
    <s v="Doorman"/>
    <s v="5 years"/>
    <x v="1"/>
    <n v="52000"/>
    <s v="none"/>
    <s v="Source Verified"/>
    <s v="113xx"/>
    <s v="NY"/>
    <n v="29788"/>
    <x v="373"/>
  </r>
  <r>
    <s v="customer 375"/>
    <s v="Vp Merchandising"/>
    <s v="5 years"/>
    <x v="0"/>
    <n v="200000"/>
    <s v="none"/>
    <s v="Not Verified"/>
    <s v="113xx"/>
    <s v="NY"/>
    <n v="5914"/>
    <x v="374"/>
  </r>
  <r>
    <s v="customer 376"/>
    <s v="Associate"/>
    <s v="5 years"/>
    <x v="2"/>
    <n v="92500"/>
    <s v="none"/>
    <s v="Not Verified"/>
    <s v="113xx"/>
    <s v="NY"/>
    <n v="14806"/>
    <x v="375"/>
  </r>
  <r>
    <s v="customer 377"/>
    <s v="Bakery Team Leader"/>
    <s v="5 years"/>
    <x v="2"/>
    <n v="68000"/>
    <s v="none"/>
    <s v="Source Verified"/>
    <s v="113xx"/>
    <s v="NY"/>
    <n v="19881"/>
    <x v="376"/>
  </r>
  <r>
    <s v="customer 378"/>
    <s v="La Peninsula Head Start"/>
    <s v="5 years"/>
    <x v="0"/>
    <n v="32000"/>
    <s v="none"/>
    <s v="Not Verified"/>
    <s v="113xx"/>
    <s v="NY"/>
    <n v="405"/>
    <x v="377"/>
  </r>
  <r>
    <s v="customer 379"/>
    <s v="Head Of Security"/>
    <s v="5 years"/>
    <x v="0"/>
    <n v="52000"/>
    <s v="none"/>
    <s v="Source Verified"/>
    <s v="113xx"/>
    <s v="NY"/>
    <n v="7324"/>
    <x v="378"/>
  </r>
  <r>
    <s v="customer 380"/>
    <s v="Assistant Store Manager"/>
    <s v="5 years"/>
    <x v="0"/>
    <n v="80000"/>
    <s v="none"/>
    <s v="Source Verified"/>
    <s v="113xx"/>
    <s v="NY"/>
    <n v="2229"/>
    <x v="379"/>
  </r>
  <r>
    <s v="customer 381"/>
    <s v="Registered Nurse"/>
    <s v="5 years"/>
    <x v="0"/>
    <n v="90000"/>
    <s v="none"/>
    <s v="Source Verified"/>
    <s v="113xx"/>
    <s v="NY"/>
    <n v="2127"/>
    <x v="380"/>
  </r>
  <r>
    <s v="customer 382"/>
    <s v="None"/>
    <s v="none"/>
    <x v="3"/>
    <n v="22000"/>
    <s v="none"/>
    <s v="Not Verified"/>
    <s v="481xx"/>
    <s v="MI"/>
    <n v="21303"/>
    <x v="381"/>
  </r>
  <r>
    <s v="customer 383"/>
    <s v="Mission Of Iraq To The Un"/>
    <s v="5 years"/>
    <x v="0"/>
    <n v="48000"/>
    <s v="none"/>
    <s v="Source Verified"/>
    <s v="113xx"/>
    <s v="NY"/>
    <n v="3073"/>
    <x v="382"/>
  </r>
  <r>
    <s v="customer 384"/>
    <s v="Doorman"/>
    <s v="5 years"/>
    <x v="0"/>
    <n v="50000"/>
    <s v="none"/>
    <s v="Not Verified"/>
    <s v="113xx"/>
    <s v="NY"/>
    <n v="4805"/>
    <x v="383"/>
  </r>
  <r>
    <s v="customer 385"/>
    <s v="Axis Point Alternative Solutions"/>
    <s v="5 years"/>
    <x v="0"/>
    <n v="65000"/>
    <s v="none"/>
    <s v="Not Verified"/>
    <s v="113xx"/>
    <s v="NY"/>
    <n v="1403"/>
    <x v="384"/>
  </r>
  <r>
    <s v="customer 386"/>
    <s v="Security"/>
    <s v="5 years"/>
    <x v="2"/>
    <n v="48000"/>
    <s v="none"/>
    <s v="Source Verified"/>
    <s v="113xx"/>
    <s v="NY"/>
    <n v="16164"/>
    <x v="385"/>
  </r>
  <r>
    <s v="customer 387"/>
    <s v="Physical Therapist"/>
    <s v="5 years"/>
    <x v="1"/>
    <n v="98000"/>
    <s v="none"/>
    <s v="Source Verified"/>
    <s v="113xx"/>
    <s v="NY"/>
    <n v="15154"/>
    <x v="386"/>
  </r>
  <r>
    <s v="customer 388"/>
    <s v="Executive Admin"/>
    <s v="5 years"/>
    <x v="0"/>
    <n v="72000"/>
    <s v="none"/>
    <s v="Verified"/>
    <s v="113xx"/>
    <s v="NY"/>
    <n v="1051"/>
    <x v="387"/>
  </r>
  <r>
    <s v="customer 389"/>
    <s v="Trackworker"/>
    <s v="5 years"/>
    <x v="2"/>
    <n v="67173.508000000002"/>
    <s v="none"/>
    <s v="Not Verified"/>
    <s v="113xx"/>
    <s v="NY"/>
    <n v="12990"/>
    <x v="388"/>
  </r>
  <r>
    <s v="customer 390"/>
    <s v="General Manager"/>
    <s v="5 years"/>
    <x v="1"/>
    <n v="70080"/>
    <s v="none"/>
    <s v="Verified"/>
    <s v="113xx"/>
    <s v="NY"/>
    <n v="27049"/>
    <x v="389"/>
  </r>
  <r>
    <s v="customer 391"/>
    <s v="Pharmacy Manager"/>
    <s v="5 years"/>
    <x v="1"/>
    <n v="125000"/>
    <s v="none"/>
    <s v="Not Verified"/>
    <s v="113xx"/>
    <s v="NY"/>
    <n v="9580"/>
    <x v="390"/>
  </r>
  <r>
    <s v="customer 392"/>
    <s v="Field Supervisor"/>
    <s v="5 years"/>
    <x v="0"/>
    <n v="39000"/>
    <s v="none"/>
    <s v="Source Verified"/>
    <s v="113xx"/>
    <s v="NY"/>
    <n v="2088"/>
    <x v="391"/>
  </r>
  <r>
    <s v="customer 393"/>
    <s v="None"/>
    <s v="none"/>
    <x v="0"/>
    <n v="12900"/>
    <s v="none"/>
    <s v="Verified"/>
    <s v="481xx"/>
    <s v="MI"/>
    <n v="1275"/>
    <x v="39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4">
  <r>
    <s v="customer 1"/>
    <x v="0"/>
    <s v="none"/>
    <x v="0"/>
    <n v="25000"/>
    <s v="none"/>
    <x v="0"/>
    <x v="0"/>
    <s v="MA"/>
    <n v="6864"/>
    <x v="0"/>
  </r>
  <r>
    <s v="customer 2"/>
    <x v="0"/>
    <s v="none"/>
    <x v="1"/>
    <n v="185000"/>
    <s v="none"/>
    <x v="1"/>
    <x v="0"/>
    <s v="MA"/>
    <n v="7930"/>
    <x v="1"/>
  </r>
  <r>
    <s v="customer 3"/>
    <x v="0"/>
    <s v="none"/>
    <x v="1"/>
    <n v="120000"/>
    <s v="none"/>
    <x v="2"/>
    <x v="1"/>
    <s v="MA"/>
    <n v="15652"/>
    <x v="2"/>
  </r>
  <r>
    <s v="customer 4"/>
    <x v="0"/>
    <s v="none"/>
    <x v="1"/>
    <n v="75000"/>
    <s v="none"/>
    <x v="0"/>
    <x v="2"/>
    <s v="NJ"/>
    <n v="14042"/>
    <x v="3"/>
  </r>
  <r>
    <s v="customer 5"/>
    <x v="0"/>
    <s v="none"/>
    <x v="1"/>
    <n v="36000"/>
    <s v="none"/>
    <x v="2"/>
    <x v="3"/>
    <s v="MI"/>
    <n v="21477"/>
    <x v="4"/>
  </r>
  <r>
    <s v="customer 6"/>
    <x v="1"/>
    <s v="5 years"/>
    <x v="2"/>
    <n v="125000"/>
    <s v="none"/>
    <x v="0"/>
    <x v="4"/>
    <s v="NY"/>
    <n v="3531"/>
    <x v="5"/>
  </r>
  <r>
    <s v="customer 7"/>
    <x v="2"/>
    <s v="5 years"/>
    <x v="1"/>
    <n v="84000"/>
    <s v="none"/>
    <x v="0"/>
    <x v="4"/>
    <s v="NY"/>
    <n v="40809"/>
    <x v="6"/>
  </r>
  <r>
    <s v="customer 8"/>
    <x v="3"/>
    <s v="5 years"/>
    <x v="0"/>
    <n v="27000"/>
    <s v="none"/>
    <x v="0"/>
    <x v="4"/>
    <s v="NY"/>
    <n v="2445"/>
    <x v="7"/>
  </r>
  <r>
    <s v="customer 9"/>
    <x v="4"/>
    <s v="5 years"/>
    <x v="0"/>
    <n v="52500"/>
    <s v="none"/>
    <x v="0"/>
    <x v="4"/>
    <s v="NY"/>
    <n v="2541"/>
    <x v="8"/>
  </r>
  <r>
    <s v="customer 10"/>
    <x v="5"/>
    <s v="5 years"/>
    <x v="0"/>
    <n v="65000"/>
    <s v="none"/>
    <x v="1"/>
    <x v="4"/>
    <s v="NY"/>
    <n v="1976"/>
    <x v="9"/>
  </r>
  <r>
    <s v="customer 11"/>
    <x v="6"/>
    <s v="5 years"/>
    <x v="2"/>
    <n v="42000"/>
    <s v="none"/>
    <x v="0"/>
    <x v="4"/>
    <s v="NY"/>
    <n v="5057"/>
    <x v="10"/>
  </r>
  <r>
    <s v="customer 12"/>
    <x v="7"/>
    <s v="5 years"/>
    <x v="0"/>
    <n v="78000"/>
    <s v="none"/>
    <x v="1"/>
    <x v="4"/>
    <s v="NY"/>
    <n v="2368"/>
    <x v="11"/>
  </r>
  <r>
    <s v="customer 13"/>
    <x v="8"/>
    <s v="5 years"/>
    <x v="1"/>
    <n v="72000"/>
    <s v="none"/>
    <x v="1"/>
    <x v="4"/>
    <s v="NY"/>
    <n v="635"/>
    <x v="12"/>
  </r>
  <r>
    <s v="customer 14"/>
    <x v="9"/>
    <s v="5 years"/>
    <x v="0"/>
    <n v="28000"/>
    <s v="none"/>
    <x v="1"/>
    <x v="4"/>
    <s v="NY"/>
    <n v="1388"/>
    <x v="13"/>
  </r>
  <r>
    <s v="customer 15"/>
    <x v="10"/>
    <s v="5 years"/>
    <x v="0"/>
    <n v="62000"/>
    <s v="none"/>
    <x v="2"/>
    <x v="4"/>
    <s v="NY"/>
    <n v="2890"/>
    <x v="14"/>
  </r>
  <r>
    <s v="customer 16"/>
    <x v="0"/>
    <s v="none"/>
    <x v="1"/>
    <n v="43200"/>
    <s v="none"/>
    <x v="0"/>
    <x v="3"/>
    <s v="MI"/>
    <n v="23727"/>
    <x v="15"/>
  </r>
  <r>
    <s v="customer 17"/>
    <x v="11"/>
    <s v="5 years"/>
    <x v="0"/>
    <n v="60000"/>
    <s v="none"/>
    <x v="1"/>
    <x v="4"/>
    <s v="NY"/>
    <n v="5474"/>
    <x v="16"/>
  </r>
  <r>
    <s v="customer 18"/>
    <x v="12"/>
    <s v="5 years"/>
    <x v="2"/>
    <n v="120000"/>
    <s v="none"/>
    <x v="1"/>
    <x v="4"/>
    <s v="NY"/>
    <n v="6927"/>
    <x v="17"/>
  </r>
  <r>
    <s v="customer 19"/>
    <x v="13"/>
    <s v="5 years"/>
    <x v="1"/>
    <n v="67500"/>
    <s v="none"/>
    <x v="1"/>
    <x v="4"/>
    <s v="NY"/>
    <n v="1002"/>
    <x v="18"/>
  </r>
  <r>
    <s v="customer 20"/>
    <x v="11"/>
    <s v="5 years"/>
    <x v="0"/>
    <n v="30000"/>
    <s v="none"/>
    <x v="2"/>
    <x v="4"/>
    <s v="NY"/>
    <n v="1441"/>
    <x v="19"/>
  </r>
  <r>
    <s v="customer 21"/>
    <x v="14"/>
    <s v="5 years"/>
    <x v="0"/>
    <n v="121500"/>
    <s v="none"/>
    <x v="1"/>
    <x v="4"/>
    <s v="NY"/>
    <n v="2576"/>
    <x v="20"/>
  </r>
  <r>
    <s v="customer 22"/>
    <x v="15"/>
    <s v="5 years"/>
    <x v="1"/>
    <n v="74000"/>
    <s v="none"/>
    <x v="0"/>
    <x v="4"/>
    <s v="NY"/>
    <n v="47824"/>
    <x v="21"/>
  </r>
  <r>
    <s v="customer 23"/>
    <x v="16"/>
    <s v="5 years"/>
    <x v="0"/>
    <n v="70000"/>
    <s v="none"/>
    <x v="2"/>
    <x v="4"/>
    <s v="NY"/>
    <n v="2583"/>
    <x v="22"/>
  </r>
  <r>
    <s v="customer 24"/>
    <x v="17"/>
    <s v="5 years"/>
    <x v="0"/>
    <n v="75000"/>
    <s v="none"/>
    <x v="2"/>
    <x v="4"/>
    <s v="NY"/>
    <n v="3125"/>
    <x v="23"/>
  </r>
  <r>
    <s v="customer 25"/>
    <x v="18"/>
    <s v="5 years"/>
    <x v="0"/>
    <n v="65000"/>
    <s v="none"/>
    <x v="2"/>
    <x v="4"/>
    <s v="NY"/>
    <n v="5861"/>
    <x v="24"/>
  </r>
  <r>
    <s v="customer 26"/>
    <x v="19"/>
    <s v="5 years"/>
    <x v="2"/>
    <n v="50000"/>
    <s v="none"/>
    <x v="1"/>
    <x v="4"/>
    <s v="NY"/>
    <n v="4791"/>
    <x v="25"/>
  </r>
  <r>
    <s v="customer 27"/>
    <x v="0"/>
    <s v="none"/>
    <x v="0"/>
    <n v="26412"/>
    <s v="none"/>
    <x v="0"/>
    <x v="3"/>
    <s v="MI"/>
    <n v="1297"/>
    <x v="26"/>
  </r>
  <r>
    <s v="customer 28"/>
    <x v="20"/>
    <s v="5 years"/>
    <x v="0"/>
    <n v="110000"/>
    <s v="none"/>
    <x v="2"/>
    <x v="4"/>
    <s v="NY"/>
    <n v="10787"/>
    <x v="27"/>
  </r>
  <r>
    <s v="customer 29"/>
    <x v="21"/>
    <s v="5 years"/>
    <x v="0"/>
    <n v="65000"/>
    <s v="none"/>
    <x v="0"/>
    <x v="4"/>
    <s v="NY"/>
    <n v="5000"/>
    <x v="28"/>
  </r>
  <r>
    <s v="customer 30"/>
    <x v="22"/>
    <s v="5 years"/>
    <x v="0"/>
    <n v="40000"/>
    <s v="none"/>
    <x v="2"/>
    <x v="4"/>
    <s v="NY"/>
    <n v="2141"/>
    <x v="29"/>
  </r>
  <r>
    <s v="customer 31"/>
    <x v="23"/>
    <s v="5 years"/>
    <x v="1"/>
    <n v="50000"/>
    <s v="none"/>
    <x v="0"/>
    <x v="4"/>
    <s v="NY"/>
    <n v="4095"/>
    <x v="30"/>
  </r>
  <r>
    <s v="customer 32"/>
    <x v="24"/>
    <s v="5 years"/>
    <x v="1"/>
    <n v="200000"/>
    <s v="none"/>
    <x v="1"/>
    <x v="4"/>
    <s v="NY"/>
    <n v="9618"/>
    <x v="31"/>
  </r>
  <r>
    <s v="customer 33"/>
    <x v="11"/>
    <s v="5 years"/>
    <x v="0"/>
    <n v="45000"/>
    <s v="none"/>
    <x v="2"/>
    <x v="4"/>
    <s v="NY"/>
    <n v="3398"/>
    <x v="32"/>
  </r>
  <r>
    <s v="customer 34"/>
    <x v="25"/>
    <s v="5 years"/>
    <x v="2"/>
    <n v="75000"/>
    <s v="none"/>
    <x v="0"/>
    <x v="4"/>
    <s v="NY"/>
    <n v="41888"/>
    <x v="33"/>
  </r>
  <r>
    <s v="customer 35"/>
    <x v="26"/>
    <s v="5 years"/>
    <x v="0"/>
    <n v="75000"/>
    <s v="none"/>
    <x v="2"/>
    <x v="5"/>
    <s v="NY"/>
    <n v="1741"/>
    <x v="34"/>
  </r>
  <r>
    <s v="customer 36"/>
    <x v="27"/>
    <s v="5 years"/>
    <x v="0"/>
    <n v="105000"/>
    <s v="none"/>
    <x v="2"/>
    <x v="5"/>
    <s v="NY"/>
    <n v="2975"/>
    <x v="35"/>
  </r>
  <r>
    <s v="customer 37"/>
    <x v="28"/>
    <s v="5 years"/>
    <x v="0"/>
    <n v="52000"/>
    <s v="none"/>
    <x v="2"/>
    <x v="5"/>
    <s v="NY"/>
    <n v="3337"/>
    <x v="36"/>
  </r>
  <r>
    <s v="customer 38"/>
    <x v="0"/>
    <s v="none"/>
    <x v="1"/>
    <n v="9000"/>
    <s v="3nonenonenonenone"/>
    <x v="0"/>
    <x v="3"/>
    <s v="MI"/>
    <n v="11996"/>
    <x v="37"/>
  </r>
  <r>
    <s v="customer 39"/>
    <x v="29"/>
    <s v="5 years"/>
    <x v="0"/>
    <n v="90000"/>
    <s v="none"/>
    <x v="1"/>
    <x v="5"/>
    <s v="NY"/>
    <n v="1763"/>
    <x v="38"/>
  </r>
  <r>
    <s v="customer 40"/>
    <x v="30"/>
    <s v="5 years"/>
    <x v="0"/>
    <n v="96000"/>
    <s v="none"/>
    <x v="1"/>
    <x v="5"/>
    <s v="NY"/>
    <n v="41983"/>
    <x v="39"/>
  </r>
  <r>
    <s v="customer 41"/>
    <x v="31"/>
    <s v="5 years"/>
    <x v="0"/>
    <n v="58214"/>
    <s v="none"/>
    <x v="2"/>
    <x v="5"/>
    <s v="NY"/>
    <n v="2009"/>
    <x v="40"/>
  </r>
  <r>
    <s v="customer 42"/>
    <x v="32"/>
    <s v="5 years"/>
    <x v="0"/>
    <n v="66000"/>
    <s v="none"/>
    <x v="1"/>
    <x v="5"/>
    <s v="NY"/>
    <n v="1767"/>
    <x v="41"/>
  </r>
  <r>
    <s v="customer 43"/>
    <x v="33"/>
    <s v="5 years"/>
    <x v="2"/>
    <n v="45000"/>
    <s v="none"/>
    <x v="2"/>
    <x v="6"/>
    <s v="NY"/>
    <n v="4226"/>
    <x v="42"/>
  </r>
  <r>
    <s v="customer 44"/>
    <x v="34"/>
    <s v="5 years"/>
    <x v="1"/>
    <n v="55000"/>
    <s v="none"/>
    <x v="1"/>
    <x v="6"/>
    <s v="NE"/>
    <n v="28764"/>
    <x v="43"/>
  </r>
  <r>
    <s v="customer 45"/>
    <x v="35"/>
    <s v="5 years"/>
    <x v="0"/>
    <n v="50000"/>
    <s v="none"/>
    <x v="0"/>
    <x v="6"/>
    <s v="NY"/>
    <n v="2227"/>
    <x v="44"/>
  </r>
  <r>
    <s v="customer 46"/>
    <x v="36"/>
    <s v="5 years"/>
    <x v="1"/>
    <n v="80000"/>
    <s v="none"/>
    <x v="2"/>
    <x v="6"/>
    <s v="NY"/>
    <n v="25517"/>
    <x v="45"/>
  </r>
  <r>
    <s v="customer 47"/>
    <x v="37"/>
    <s v="5 years"/>
    <x v="1"/>
    <n v="86469"/>
    <s v="none"/>
    <x v="1"/>
    <x v="6"/>
    <s v="NY"/>
    <n v="24846"/>
    <x v="46"/>
  </r>
  <r>
    <s v="customer 48"/>
    <x v="38"/>
    <s v="5 years"/>
    <x v="0"/>
    <n v="65000"/>
    <s v="none"/>
    <x v="2"/>
    <x v="6"/>
    <s v="NY"/>
    <n v="1737"/>
    <x v="47"/>
  </r>
  <r>
    <s v="customer 49"/>
    <x v="0"/>
    <s v="none"/>
    <x v="1"/>
    <n v="65000"/>
    <s v="none"/>
    <x v="1"/>
    <x v="3"/>
    <s v="MI"/>
    <n v="9379"/>
    <x v="48"/>
  </r>
  <r>
    <s v="customer 50"/>
    <x v="39"/>
    <s v="5 years"/>
    <x v="1"/>
    <n v="90000"/>
    <s v="23nonenonenonenone"/>
    <x v="1"/>
    <x v="6"/>
    <s v="NY"/>
    <n v="48282"/>
    <x v="49"/>
  </r>
  <r>
    <s v="customer 51"/>
    <x v="40"/>
    <s v="5 years"/>
    <x v="1"/>
    <n v="175000"/>
    <s v="none"/>
    <x v="0"/>
    <x v="6"/>
    <s v="NY"/>
    <n v="8503"/>
    <x v="50"/>
  </r>
  <r>
    <s v="customer 52"/>
    <x v="11"/>
    <s v="5 years"/>
    <x v="0"/>
    <n v="60000"/>
    <s v="none"/>
    <x v="2"/>
    <x v="6"/>
    <s v="NY"/>
    <n v="3334"/>
    <x v="51"/>
  </r>
  <r>
    <s v="customer 53"/>
    <x v="41"/>
    <s v="5 years"/>
    <x v="0"/>
    <n v="161000"/>
    <s v="none"/>
    <x v="2"/>
    <x v="6"/>
    <s v="NY"/>
    <n v="3538"/>
    <x v="52"/>
  </r>
  <r>
    <s v="customer 54"/>
    <x v="42"/>
    <s v="5 years"/>
    <x v="2"/>
    <n v="85000"/>
    <s v="none"/>
    <x v="2"/>
    <x v="6"/>
    <s v="NY"/>
    <n v="6776"/>
    <x v="53"/>
  </r>
  <r>
    <s v="customer 55"/>
    <x v="43"/>
    <s v="5 years"/>
    <x v="0"/>
    <n v="49000"/>
    <s v="none"/>
    <x v="2"/>
    <x v="6"/>
    <s v="NY"/>
    <n v="2192"/>
    <x v="54"/>
  </r>
  <r>
    <s v="customer 56"/>
    <x v="44"/>
    <s v="5 years"/>
    <x v="0"/>
    <n v="70000"/>
    <s v="none"/>
    <x v="2"/>
    <x v="6"/>
    <s v="NY"/>
    <n v="3660"/>
    <x v="55"/>
  </r>
  <r>
    <s v="customer 57"/>
    <x v="45"/>
    <s v="5 years"/>
    <x v="0"/>
    <n v="38000"/>
    <s v="none"/>
    <x v="1"/>
    <x v="6"/>
    <s v="NY"/>
    <n v="1381"/>
    <x v="56"/>
  </r>
  <r>
    <s v="customer 58"/>
    <x v="46"/>
    <s v="5 years"/>
    <x v="1"/>
    <n v="65000"/>
    <s v="none"/>
    <x v="1"/>
    <x v="6"/>
    <s v="NY"/>
    <n v="20384"/>
    <x v="57"/>
  </r>
  <r>
    <s v="customer 59"/>
    <x v="47"/>
    <s v="5 years"/>
    <x v="1"/>
    <n v="135000"/>
    <s v="none"/>
    <x v="1"/>
    <x v="6"/>
    <s v="NY"/>
    <n v="35562"/>
    <x v="58"/>
  </r>
  <r>
    <s v="customer 60"/>
    <x v="0"/>
    <s v="none"/>
    <x v="1"/>
    <n v="52800"/>
    <s v="none"/>
    <x v="0"/>
    <x v="3"/>
    <s v="MI"/>
    <n v="21029"/>
    <x v="59"/>
  </r>
  <r>
    <s v="customer 61"/>
    <x v="48"/>
    <s v="5 years"/>
    <x v="1"/>
    <n v="86000"/>
    <s v="none"/>
    <x v="2"/>
    <x v="6"/>
    <s v="NY"/>
    <n v="19868"/>
    <x v="60"/>
  </r>
  <r>
    <s v="customer 62"/>
    <x v="49"/>
    <s v="5 years"/>
    <x v="0"/>
    <n v="90000"/>
    <s v="none"/>
    <x v="0"/>
    <x v="6"/>
    <s v="NY"/>
    <n v="11132"/>
    <x v="61"/>
  </r>
  <r>
    <s v="customer 63"/>
    <x v="39"/>
    <s v="5 years"/>
    <x v="1"/>
    <n v="96000"/>
    <s v="none"/>
    <x v="1"/>
    <x v="6"/>
    <s v="NY"/>
    <n v="54834"/>
    <x v="62"/>
  </r>
  <r>
    <s v="customer 64"/>
    <x v="50"/>
    <s v="5 years"/>
    <x v="0"/>
    <n v="54000"/>
    <s v="none"/>
    <x v="2"/>
    <x v="6"/>
    <s v="NY"/>
    <n v="4347"/>
    <x v="63"/>
  </r>
  <r>
    <s v="customer 65"/>
    <x v="51"/>
    <s v="5 years"/>
    <x v="0"/>
    <n v="25000"/>
    <s v="none"/>
    <x v="1"/>
    <x v="6"/>
    <s v="NY"/>
    <n v="1118"/>
    <x v="64"/>
  </r>
  <r>
    <s v="customer 66"/>
    <x v="27"/>
    <s v="5 years"/>
    <x v="1"/>
    <n v="90000"/>
    <s v="none"/>
    <x v="1"/>
    <x v="6"/>
    <s v="NY"/>
    <n v="2707"/>
    <x v="65"/>
  </r>
  <r>
    <s v="customer 67"/>
    <x v="52"/>
    <s v="5 years"/>
    <x v="1"/>
    <n v="118700"/>
    <s v="none"/>
    <x v="2"/>
    <x v="6"/>
    <s v="NY"/>
    <n v="63234"/>
    <x v="66"/>
  </r>
  <r>
    <s v="customer 68"/>
    <x v="53"/>
    <s v="5 years"/>
    <x v="2"/>
    <n v="60000"/>
    <s v="none"/>
    <x v="1"/>
    <x v="6"/>
    <s v="NY"/>
    <n v="5467"/>
    <x v="67"/>
  </r>
  <r>
    <s v="customer 69"/>
    <x v="54"/>
    <s v="5 years"/>
    <x v="0"/>
    <n v="68000"/>
    <s v="none"/>
    <x v="2"/>
    <x v="6"/>
    <s v="NY"/>
    <n v="1405"/>
    <x v="68"/>
  </r>
  <r>
    <s v="customer 70"/>
    <x v="55"/>
    <s v="5 years"/>
    <x v="0"/>
    <n v="82000"/>
    <s v="none"/>
    <x v="1"/>
    <x v="6"/>
    <s v="NY"/>
    <n v="851"/>
    <x v="69"/>
  </r>
  <r>
    <s v="customer 71"/>
    <x v="0"/>
    <s v="none"/>
    <x v="2"/>
    <n v="20000"/>
    <s v="none"/>
    <x v="1"/>
    <x v="3"/>
    <s v="MI"/>
    <n v="1282"/>
    <x v="70"/>
  </r>
  <r>
    <s v="customer 72"/>
    <x v="56"/>
    <s v="5 years"/>
    <x v="0"/>
    <n v="60000"/>
    <s v="none"/>
    <x v="0"/>
    <x v="6"/>
    <s v="NY"/>
    <n v="3326"/>
    <x v="71"/>
  </r>
  <r>
    <s v="customer 73"/>
    <x v="33"/>
    <s v="5 years"/>
    <x v="2"/>
    <n v="110000"/>
    <s v="none"/>
    <x v="2"/>
    <x v="6"/>
    <s v="NY"/>
    <n v="1990"/>
    <x v="72"/>
  </r>
  <r>
    <s v="customer 74"/>
    <x v="57"/>
    <s v="5 years"/>
    <x v="0"/>
    <n v="75500"/>
    <s v="none"/>
    <x v="1"/>
    <x v="6"/>
    <s v="NY"/>
    <n v="22226"/>
    <x v="73"/>
  </r>
  <r>
    <s v="customer 75"/>
    <x v="58"/>
    <s v="5 years"/>
    <x v="2"/>
    <n v="172000"/>
    <s v="none"/>
    <x v="2"/>
    <x v="6"/>
    <s v="NY"/>
    <n v="54950"/>
    <x v="74"/>
  </r>
  <r>
    <s v="customer 76"/>
    <x v="24"/>
    <s v="5 years"/>
    <x v="1"/>
    <n v="145000"/>
    <s v="none"/>
    <x v="0"/>
    <x v="6"/>
    <s v="NY"/>
    <n v="17154"/>
    <x v="75"/>
  </r>
  <r>
    <s v="customer 77"/>
    <x v="59"/>
    <s v="5 years"/>
    <x v="0"/>
    <n v="60000"/>
    <s v="none"/>
    <x v="2"/>
    <x v="6"/>
    <s v="NY"/>
    <n v="1863"/>
    <x v="76"/>
  </r>
  <r>
    <s v="customer 78"/>
    <x v="60"/>
    <s v="5 years"/>
    <x v="0"/>
    <n v="62000"/>
    <s v="124nonenonenone"/>
    <x v="0"/>
    <x v="6"/>
    <s v="NY"/>
    <n v="1635"/>
    <x v="77"/>
  </r>
  <r>
    <s v="customer 79"/>
    <x v="61"/>
    <s v="5 years"/>
    <x v="1"/>
    <n v="61602.32"/>
    <s v="none"/>
    <x v="2"/>
    <x v="6"/>
    <s v="NY"/>
    <n v="10809"/>
    <x v="78"/>
  </r>
  <r>
    <s v="customer 80"/>
    <x v="62"/>
    <s v="5 years"/>
    <x v="1"/>
    <n v="85000"/>
    <s v="none"/>
    <x v="1"/>
    <x v="6"/>
    <s v="NY"/>
    <n v="3914"/>
    <x v="79"/>
  </r>
  <r>
    <s v="customer 81"/>
    <x v="63"/>
    <s v="5 years"/>
    <x v="0"/>
    <n v="88000"/>
    <s v="none"/>
    <x v="1"/>
    <x v="6"/>
    <s v="NY"/>
    <n v="2153"/>
    <x v="80"/>
  </r>
  <r>
    <s v="customer 82"/>
    <x v="0"/>
    <s v="none"/>
    <x v="0"/>
    <n v="60000"/>
    <s v="92nonenonenone"/>
    <x v="1"/>
    <x v="3"/>
    <s v="MI"/>
    <n v="1539"/>
    <x v="81"/>
  </r>
  <r>
    <s v="customer 83"/>
    <x v="64"/>
    <s v="5 years"/>
    <x v="0"/>
    <n v="90000"/>
    <s v="none"/>
    <x v="1"/>
    <x v="6"/>
    <s v="NY"/>
    <n v="9425"/>
    <x v="82"/>
  </r>
  <r>
    <s v="customer 84"/>
    <x v="65"/>
    <s v="5 years"/>
    <x v="1"/>
    <n v="63000"/>
    <s v="none"/>
    <x v="1"/>
    <x v="6"/>
    <s v="NY"/>
    <n v="16746"/>
    <x v="83"/>
  </r>
  <r>
    <s v="customer 85"/>
    <x v="66"/>
    <s v="5 years"/>
    <x v="2"/>
    <n v="110000"/>
    <s v="none"/>
    <x v="2"/>
    <x v="6"/>
    <s v="NY"/>
    <n v="26161"/>
    <x v="84"/>
  </r>
  <r>
    <s v="customer 86"/>
    <x v="67"/>
    <s v="5 years"/>
    <x v="0"/>
    <n v="55000"/>
    <s v="none"/>
    <x v="0"/>
    <x v="7"/>
    <s v="NY"/>
    <n v="2888"/>
    <x v="85"/>
  </r>
  <r>
    <s v="customer 87"/>
    <x v="68"/>
    <s v="5 years"/>
    <x v="0"/>
    <n v="140000"/>
    <s v="none"/>
    <x v="2"/>
    <x v="7"/>
    <s v="NY"/>
    <n v="2889"/>
    <x v="86"/>
  </r>
  <r>
    <s v="customer 88"/>
    <x v="69"/>
    <s v="5 years"/>
    <x v="1"/>
    <n v="48000"/>
    <s v="74nonenonenone"/>
    <x v="1"/>
    <x v="7"/>
    <s v="NY"/>
    <n v="1284"/>
    <x v="87"/>
  </r>
  <r>
    <s v="customer 89"/>
    <x v="70"/>
    <s v="5 years"/>
    <x v="1"/>
    <n v="65000"/>
    <s v="none"/>
    <x v="2"/>
    <x v="7"/>
    <s v="NY"/>
    <n v="39411"/>
    <x v="88"/>
  </r>
  <r>
    <s v="customer 90"/>
    <x v="71"/>
    <s v="5 years"/>
    <x v="0"/>
    <n v="55000"/>
    <s v="none"/>
    <x v="1"/>
    <x v="7"/>
    <s v="NY"/>
    <n v="1267"/>
    <x v="89"/>
  </r>
  <r>
    <s v="customer 91"/>
    <x v="72"/>
    <s v="5 years"/>
    <x v="1"/>
    <n v="200000"/>
    <s v="none"/>
    <x v="2"/>
    <x v="7"/>
    <s v="NY"/>
    <n v="69929"/>
    <x v="90"/>
  </r>
  <r>
    <s v="customer 92"/>
    <x v="73"/>
    <s v="5 years"/>
    <x v="0"/>
    <n v="40000"/>
    <s v="none"/>
    <x v="2"/>
    <x v="7"/>
    <s v="NY"/>
    <n v="2981"/>
    <x v="91"/>
  </r>
  <r>
    <s v="customer 93"/>
    <x v="0"/>
    <s v="none"/>
    <x v="2"/>
    <n v="40000"/>
    <s v="none"/>
    <x v="2"/>
    <x v="3"/>
    <s v="MI"/>
    <n v="859"/>
    <x v="92"/>
  </r>
  <r>
    <s v="customer 94"/>
    <x v="74"/>
    <s v="5 years"/>
    <x v="0"/>
    <n v="45000"/>
    <s v="none"/>
    <x v="2"/>
    <x v="7"/>
    <s v="NY"/>
    <n v="2167"/>
    <x v="93"/>
  </r>
  <r>
    <s v="customer 95"/>
    <x v="75"/>
    <s v="5 years"/>
    <x v="0"/>
    <n v="45000"/>
    <s v="none"/>
    <x v="0"/>
    <x v="7"/>
    <s v="NY"/>
    <n v="5134"/>
    <x v="94"/>
  </r>
  <r>
    <s v="customer 96"/>
    <x v="76"/>
    <s v="5 years"/>
    <x v="0"/>
    <n v="150000"/>
    <s v="none"/>
    <x v="2"/>
    <x v="7"/>
    <s v="NY"/>
    <n v="5048"/>
    <x v="95"/>
  </r>
  <r>
    <s v="customer 97"/>
    <x v="77"/>
    <s v="5 years"/>
    <x v="1"/>
    <n v="310750"/>
    <s v="none"/>
    <x v="2"/>
    <x v="7"/>
    <s v="NY"/>
    <n v="49073"/>
    <x v="96"/>
  </r>
  <r>
    <s v="customer 98"/>
    <x v="78"/>
    <s v="5 years"/>
    <x v="0"/>
    <n v="110000"/>
    <s v="none"/>
    <x v="1"/>
    <x v="7"/>
    <s v="NY"/>
    <n v="6774"/>
    <x v="97"/>
  </r>
  <r>
    <s v="customer 99"/>
    <x v="39"/>
    <s v="5 years"/>
    <x v="1"/>
    <n v="55000"/>
    <s v="165nonenonenone"/>
    <x v="2"/>
    <x v="7"/>
    <s v="NY"/>
    <n v="6432"/>
    <x v="98"/>
  </r>
  <r>
    <s v="customer 100"/>
    <x v="58"/>
    <s v="5 years"/>
    <x v="2"/>
    <n v="250000"/>
    <s v="none"/>
    <x v="2"/>
    <x v="7"/>
    <s v="NY"/>
    <n v="42203"/>
    <x v="99"/>
  </r>
  <r>
    <s v="customer 101"/>
    <x v="79"/>
    <s v="5 years"/>
    <x v="1"/>
    <n v="210000"/>
    <s v="none"/>
    <x v="2"/>
    <x v="8"/>
    <s v="NY"/>
    <n v="26793"/>
    <x v="100"/>
  </r>
  <r>
    <s v="customer 102"/>
    <x v="80"/>
    <s v="5 years"/>
    <x v="0"/>
    <n v="250000"/>
    <s v="none"/>
    <x v="2"/>
    <x v="8"/>
    <s v="NY"/>
    <n v="6347"/>
    <x v="101"/>
  </r>
  <r>
    <s v="customer 103"/>
    <x v="81"/>
    <s v="5 years"/>
    <x v="0"/>
    <n v="75000"/>
    <s v="none"/>
    <x v="0"/>
    <x v="8"/>
    <s v="NY"/>
    <n v="1641"/>
    <x v="102"/>
  </r>
  <r>
    <s v="customer 104"/>
    <x v="0"/>
    <s v="none"/>
    <x v="1"/>
    <n v="16000"/>
    <s v="16nonenonenonenone"/>
    <x v="0"/>
    <x v="3"/>
    <s v="MI"/>
    <n v="23528"/>
    <x v="103"/>
  </r>
  <r>
    <s v="customer 105"/>
    <x v="82"/>
    <s v="5 years"/>
    <x v="0"/>
    <n v="82000"/>
    <s v="none"/>
    <x v="2"/>
    <x v="8"/>
    <s v="NY"/>
    <n v="8055"/>
    <x v="104"/>
  </r>
  <r>
    <s v="customer 106"/>
    <x v="83"/>
    <s v="5 years"/>
    <x v="0"/>
    <n v="65000"/>
    <s v="none"/>
    <x v="2"/>
    <x v="8"/>
    <s v="NY"/>
    <n v="4814"/>
    <x v="105"/>
  </r>
  <r>
    <s v="customer 107"/>
    <x v="84"/>
    <s v="5 years"/>
    <x v="0"/>
    <n v="65000"/>
    <s v="none"/>
    <x v="2"/>
    <x v="8"/>
    <s v="NY"/>
    <n v="1986"/>
    <x v="106"/>
  </r>
  <r>
    <s v="customer 108"/>
    <x v="85"/>
    <s v="5 years"/>
    <x v="0"/>
    <n v="68000"/>
    <s v="none"/>
    <x v="2"/>
    <x v="8"/>
    <s v="NY"/>
    <n v="3979"/>
    <x v="107"/>
  </r>
  <r>
    <s v="customer 109"/>
    <x v="86"/>
    <s v="5 years"/>
    <x v="2"/>
    <n v="100000"/>
    <s v="none"/>
    <x v="2"/>
    <x v="8"/>
    <s v="NY"/>
    <n v="2071"/>
    <x v="108"/>
  </r>
  <r>
    <s v="customer 110"/>
    <x v="87"/>
    <s v="5 years"/>
    <x v="0"/>
    <n v="28000"/>
    <s v="none"/>
    <x v="2"/>
    <x v="8"/>
    <s v="NY"/>
    <n v="3334"/>
    <x v="109"/>
  </r>
  <r>
    <s v="customer 111"/>
    <x v="88"/>
    <s v="5 years"/>
    <x v="0"/>
    <n v="170000"/>
    <s v="none"/>
    <x v="2"/>
    <x v="8"/>
    <s v="NY"/>
    <n v="3948"/>
    <x v="110"/>
  </r>
  <r>
    <s v="customer 112"/>
    <x v="89"/>
    <s v="5 years"/>
    <x v="0"/>
    <n v="49377"/>
    <s v="none"/>
    <x v="2"/>
    <x v="8"/>
    <s v="NY"/>
    <n v="785"/>
    <x v="111"/>
  </r>
  <r>
    <s v="customer 113"/>
    <x v="90"/>
    <s v="5 years"/>
    <x v="1"/>
    <n v="200000"/>
    <s v="none"/>
    <x v="2"/>
    <x v="8"/>
    <s v="NY"/>
    <n v="25022"/>
    <x v="112"/>
  </r>
  <r>
    <s v="customer 114"/>
    <x v="91"/>
    <s v="5 years"/>
    <x v="0"/>
    <n v="50000"/>
    <s v="none"/>
    <x v="1"/>
    <x v="8"/>
    <s v="NY"/>
    <n v="2061"/>
    <x v="113"/>
  </r>
  <r>
    <s v="customer 115"/>
    <x v="0"/>
    <s v="none"/>
    <x v="2"/>
    <n v="45000"/>
    <s v="139nonenonenone"/>
    <x v="2"/>
    <x v="2"/>
    <s v="NJ"/>
    <n v="24809"/>
    <x v="114"/>
  </r>
  <r>
    <s v="customer 116"/>
    <x v="0"/>
    <s v="none"/>
    <x v="1"/>
    <n v="50000"/>
    <s v="none"/>
    <x v="1"/>
    <x v="3"/>
    <s v="MI"/>
    <n v="4892"/>
    <x v="115"/>
  </r>
  <r>
    <s v="customer 117"/>
    <x v="33"/>
    <s v="5 years"/>
    <x v="0"/>
    <n v="64000"/>
    <s v="none"/>
    <x v="2"/>
    <x v="8"/>
    <s v="NY"/>
    <n v="1469"/>
    <x v="116"/>
  </r>
  <r>
    <s v="customer 118"/>
    <x v="92"/>
    <s v="5 years"/>
    <x v="0"/>
    <n v="85340"/>
    <s v="none"/>
    <x v="0"/>
    <x v="8"/>
    <s v="NY"/>
    <n v="10592"/>
    <x v="117"/>
  </r>
  <r>
    <s v="customer 119"/>
    <x v="93"/>
    <s v="5 years"/>
    <x v="0"/>
    <n v="90000"/>
    <s v="none"/>
    <x v="2"/>
    <x v="8"/>
    <s v="NY"/>
    <n v="3777"/>
    <x v="118"/>
  </r>
  <r>
    <s v="customer 120"/>
    <x v="94"/>
    <s v="5 years"/>
    <x v="0"/>
    <n v="56000"/>
    <s v="none"/>
    <x v="1"/>
    <x v="8"/>
    <s v="NY"/>
    <n v="1946"/>
    <x v="119"/>
  </r>
  <r>
    <s v="customer 121"/>
    <x v="95"/>
    <s v="5 years"/>
    <x v="0"/>
    <n v="56000"/>
    <s v="none"/>
    <x v="2"/>
    <x v="8"/>
    <s v="NY"/>
    <n v="489"/>
    <x v="120"/>
  </r>
  <r>
    <s v="customer 122"/>
    <x v="81"/>
    <s v="5 years"/>
    <x v="0"/>
    <n v="81414"/>
    <s v="none"/>
    <x v="0"/>
    <x v="8"/>
    <s v="NY"/>
    <n v="17689"/>
    <x v="121"/>
  </r>
  <r>
    <s v="customer 123"/>
    <x v="96"/>
    <s v="5 years"/>
    <x v="0"/>
    <n v="85000"/>
    <s v="none"/>
    <x v="2"/>
    <x v="8"/>
    <s v="NY"/>
    <n v="2558"/>
    <x v="122"/>
  </r>
  <r>
    <s v="customer 124"/>
    <x v="33"/>
    <s v="5 years"/>
    <x v="1"/>
    <n v="65000"/>
    <s v="none"/>
    <x v="2"/>
    <x v="8"/>
    <s v="NY"/>
    <n v="906"/>
    <x v="123"/>
  </r>
  <r>
    <s v="customer 125"/>
    <x v="97"/>
    <s v="5 years"/>
    <x v="0"/>
    <n v="85000"/>
    <s v="none"/>
    <x v="2"/>
    <x v="8"/>
    <s v="NY"/>
    <n v="6493"/>
    <x v="124"/>
  </r>
  <r>
    <s v="customer 126"/>
    <x v="98"/>
    <s v="5 years"/>
    <x v="0"/>
    <n v="50000"/>
    <s v="none"/>
    <x v="0"/>
    <x v="8"/>
    <s v="NY"/>
    <n v="6532"/>
    <x v="125"/>
  </r>
  <r>
    <s v="customer 127"/>
    <x v="0"/>
    <s v="none"/>
    <x v="1"/>
    <n v="120000"/>
    <s v="none"/>
    <x v="0"/>
    <x v="3"/>
    <s v="MI"/>
    <n v="12090"/>
    <x v="126"/>
  </r>
  <r>
    <s v="customer 128"/>
    <x v="99"/>
    <s v="5 years"/>
    <x v="1"/>
    <n v="80000"/>
    <s v="none"/>
    <x v="1"/>
    <x v="8"/>
    <s v="NY"/>
    <n v="2215"/>
    <x v="127"/>
  </r>
  <r>
    <s v="customer 129"/>
    <x v="100"/>
    <s v="5 years"/>
    <x v="0"/>
    <n v="85000"/>
    <s v="none"/>
    <x v="2"/>
    <x v="8"/>
    <s v="NY"/>
    <n v="2450"/>
    <x v="128"/>
  </r>
  <r>
    <s v="customer 130"/>
    <x v="101"/>
    <s v="5 years"/>
    <x v="0"/>
    <n v="34000"/>
    <s v="none"/>
    <x v="2"/>
    <x v="8"/>
    <s v="NY"/>
    <n v="4090"/>
    <x v="129"/>
  </r>
  <r>
    <s v="customer 131"/>
    <x v="102"/>
    <s v="5 years"/>
    <x v="0"/>
    <n v="60000"/>
    <s v="none"/>
    <x v="1"/>
    <x v="8"/>
    <s v="NY"/>
    <n v="626"/>
    <x v="130"/>
  </r>
  <r>
    <s v="customer 132"/>
    <x v="33"/>
    <s v="5 years"/>
    <x v="0"/>
    <n v="45000"/>
    <s v="none"/>
    <x v="1"/>
    <x v="8"/>
    <s v="NY"/>
    <n v="820"/>
    <x v="131"/>
  </r>
  <r>
    <s v="customer 133"/>
    <x v="103"/>
    <s v="5 years"/>
    <x v="0"/>
    <n v="55000"/>
    <s v="95nonenonenone"/>
    <x v="1"/>
    <x v="8"/>
    <s v="NY"/>
    <n v="4295"/>
    <x v="132"/>
  </r>
  <r>
    <s v="customer 134"/>
    <x v="104"/>
    <s v="5 years"/>
    <x v="0"/>
    <n v="62000"/>
    <s v="none"/>
    <x v="1"/>
    <x v="8"/>
    <s v="NY"/>
    <n v="3196"/>
    <x v="133"/>
  </r>
  <r>
    <s v="customer 135"/>
    <x v="105"/>
    <s v="5 years"/>
    <x v="0"/>
    <n v="68000"/>
    <s v="none"/>
    <x v="1"/>
    <x v="8"/>
    <s v="NY"/>
    <n v="3982"/>
    <x v="134"/>
  </r>
  <r>
    <s v="customer 136"/>
    <x v="106"/>
    <s v="5 years"/>
    <x v="0"/>
    <n v="55000"/>
    <s v="none"/>
    <x v="1"/>
    <x v="8"/>
    <s v="NY"/>
    <n v="667"/>
    <x v="135"/>
  </r>
  <r>
    <s v="customer 137"/>
    <x v="107"/>
    <s v="5 years"/>
    <x v="0"/>
    <n v="100000"/>
    <s v="none"/>
    <x v="2"/>
    <x v="8"/>
    <s v="NY"/>
    <n v="609"/>
    <x v="136"/>
  </r>
  <r>
    <s v="customer 138"/>
    <x v="0"/>
    <s v="none"/>
    <x v="2"/>
    <n v="36800"/>
    <s v="none"/>
    <x v="0"/>
    <x v="3"/>
    <s v="MI"/>
    <n v="3094"/>
    <x v="137"/>
  </r>
  <r>
    <s v="customer 139"/>
    <x v="108"/>
    <s v="5 years"/>
    <x v="0"/>
    <n v="38000"/>
    <s v="none"/>
    <x v="0"/>
    <x v="8"/>
    <s v="NY"/>
    <n v="1111"/>
    <x v="138"/>
  </r>
  <r>
    <s v="customer 140"/>
    <x v="109"/>
    <s v="5 years"/>
    <x v="0"/>
    <n v="40000"/>
    <s v="none"/>
    <x v="1"/>
    <x v="8"/>
    <s v="NY"/>
    <n v="2162"/>
    <x v="139"/>
  </r>
  <r>
    <s v="customer 141"/>
    <x v="110"/>
    <s v="5 years"/>
    <x v="0"/>
    <n v="54000"/>
    <s v="none"/>
    <x v="0"/>
    <x v="8"/>
    <s v="NY"/>
    <n v="1983"/>
    <x v="140"/>
  </r>
  <r>
    <s v="customer 142"/>
    <x v="111"/>
    <s v="5 years"/>
    <x v="0"/>
    <n v="35000"/>
    <s v="none"/>
    <x v="0"/>
    <x v="8"/>
    <s v="NY"/>
    <n v="318"/>
    <x v="141"/>
  </r>
  <r>
    <s v="customer 143"/>
    <x v="112"/>
    <s v="5 years"/>
    <x v="0"/>
    <n v="65000"/>
    <s v="none"/>
    <x v="2"/>
    <x v="9"/>
    <s v="NY"/>
    <n v="2235"/>
    <x v="142"/>
  </r>
  <r>
    <s v="customer 144"/>
    <x v="113"/>
    <s v="5 years"/>
    <x v="0"/>
    <n v="55000"/>
    <s v="none"/>
    <x v="2"/>
    <x v="9"/>
    <s v="NY"/>
    <n v="2456"/>
    <x v="143"/>
  </r>
  <r>
    <s v="customer 145"/>
    <x v="114"/>
    <s v="5 years"/>
    <x v="2"/>
    <n v="48000"/>
    <s v="none"/>
    <x v="2"/>
    <x v="9"/>
    <s v="NY"/>
    <n v="2827"/>
    <x v="144"/>
  </r>
  <r>
    <s v="customer 146"/>
    <x v="115"/>
    <s v="5 years"/>
    <x v="0"/>
    <n v="26000"/>
    <s v="none"/>
    <x v="1"/>
    <x v="9"/>
    <s v="NY"/>
    <n v="374"/>
    <x v="145"/>
  </r>
  <r>
    <s v="customer 147"/>
    <x v="116"/>
    <s v="5 years"/>
    <x v="0"/>
    <n v="40000"/>
    <s v="none"/>
    <x v="1"/>
    <x v="9"/>
    <s v="NY"/>
    <n v="3340"/>
    <x v="146"/>
  </r>
  <r>
    <s v="customer 148"/>
    <x v="117"/>
    <s v="5 years"/>
    <x v="0"/>
    <n v="70000"/>
    <s v="none"/>
    <x v="2"/>
    <x v="9"/>
    <s v="NY"/>
    <n v="1214"/>
    <x v="147"/>
  </r>
  <r>
    <s v="customer 149"/>
    <x v="0"/>
    <s v="none"/>
    <x v="0"/>
    <n v="47052"/>
    <s v="none"/>
    <x v="0"/>
    <x v="3"/>
    <s v="MI"/>
    <n v="2320"/>
    <x v="148"/>
  </r>
  <r>
    <s v="customer 150"/>
    <x v="118"/>
    <s v="5 years"/>
    <x v="0"/>
    <n v="150000"/>
    <s v="none"/>
    <x v="1"/>
    <x v="9"/>
    <s v="NY"/>
    <n v="3807"/>
    <x v="149"/>
  </r>
  <r>
    <s v="customer 151"/>
    <x v="119"/>
    <s v="5 years"/>
    <x v="0"/>
    <n v="35000"/>
    <s v="none"/>
    <x v="1"/>
    <x v="9"/>
    <s v="NY"/>
    <n v="1467"/>
    <x v="150"/>
  </r>
  <r>
    <s v="customer 152"/>
    <x v="120"/>
    <s v="5 years"/>
    <x v="0"/>
    <n v="80000"/>
    <s v="none"/>
    <x v="2"/>
    <x v="9"/>
    <s v="NY"/>
    <n v="2589"/>
    <x v="151"/>
  </r>
  <r>
    <s v="customer 153"/>
    <x v="121"/>
    <s v="5 years"/>
    <x v="0"/>
    <n v="128000"/>
    <s v="none"/>
    <x v="0"/>
    <x v="9"/>
    <s v="NY"/>
    <n v="5960"/>
    <x v="152"/>
  </r>
  <r>
    <s v="customer 154"/>
    <x v="122"/>
    <s v="5 years"/>
    <x v="2"/>
    <n v="90000"/>
    <s v="none"/>
    <x v="1"/>
    <x v="9"/>
    <s v="NY"/>
    <n v="46704"/>
    <x v="153"/>
  </r>
  <r>
    <s v="customer 155"/>
    <x v="123"/>
    <s v="5 years"/>
    <x v="2"/>
    <n v="77000"/>
    <s v="none"/>
    <x v="0"/>
    <x v="9"/>
    <s v="NY"/>
    <n v="9088"/>
    <x v="154"/>
  </r>
  <r>
    <s v="customer 156"/>
    <x v="3"/>
    <s v="5 years"/>
    <x v="0"/>
    <n v="45000"/>
    <s v="none"/>
    <x v="1"/>
    <x v="9"/>
    <s v="NY"/>
    <n v="2365"/>
    <x v="155"/>
  </r>
  <r>
    <s v="customer 157"/>
    <x v="124"/>
    <s v="5 years"/>
    <x v="0"/>
    <n v="125000"/>
    <s v="none"/>
    <x v="2"/>
    <x v="9"/>
    <s v="NY"/>
    <n v="4287"/>
    <x v="156"/>
  </r>
  <r>
    <s v="customer 158"/>
    <x v="125"/>
    <s v="5 years"/>
    <x v="0"/>
    <n v="33000"/>
    <s v="none"/>
    <x v="0"/>
    <x v="9"/>
    <s v="NY"/>
    <n v="3663"/>
    <x v="157"/>
  </r>
  <r>
    <s v="customer 159"/>
    <x v="126"/>
    <s v="5 years"/>
    <x v="0"/>
    <n v="85000"/>
    <s v="none"/>
    <x v="1"/>
    <x v="9"/>
    <s v="NY"/>
    <n v="1546"/>
    <x v="158"/>
  </r>
  <r>
    <s v="customer 160"/>
    <x v="0"/>
    <s v="none"/>
    <x v="0"/>
    <n v="44520"/>
    <s v="none"/>
    <x v="0"/>
    <x v="3"/>
    <s v="MI"/>
    <n v="5954"/>
    <x v="159"/>
  </r>
  <r>
    <s v="customer 161"/>
    <x v="127"/>
    <s v="5 years"/>
    <x v="0"/>
    <n v="50000"/>
    <s v="none"/>
    <x v="0"/>
    <x v="9"/>
    <s v="NY"/>
    <n v="3403"/>
    <x v="160"/>
  </r>
  <r>
    <s v="customer 162"/>
    <x v="128"/>
    <s v="5 years"/>
    <x v="0"/>
    <n v="65000"/>
    <s v="none"/>
    <x v="0"/>
    <x v="9"/>
    <s v="NY"/>
    <n v="4367"/>
    <x v="161"/>
  </r>
  <r>
    <s v="customer 163"/>
    <x v="129"/>
    <s v="5 years"/>
    <x v="0"/>
    <n v="35000"/>
    <s v="none"/>
    <x v="0"/>
    <x v="9"/>
    <s v="NY"/>
    <n v="1731"/>
    <x v="162"/>
  </r>
  <r>
    <s v="customer 164"/>
    <x v="130"/>
    <s v="5 years"/>
    <x v="0"/>
    <n v="85000"/>
    <s v="none"/>
    <x v="0"/>
    <x v="9"/>
    <s v="NY"/>
    <n v="3262"/>
    <x v="163"/>
  </r>
  <r>
    <s v="customer 165"/>
    <x v="131"/>
    <s v="5 years"/>
    <x v="0"/>
    <n v="60000"/>
    <s v="none"/>
    <x v="0"/>
    <x v="9"/>
    <s v="NY"/>
    <n v="2486"/>
    <x v="164"/>
  </r>
  <r>
    <s v="customer 166"/>
    <x v="132"/>
    <s v="5 years"/>
    <x v="0"/>
    <n v="26000"/>
    <s v="none"/>
    <x v="2"/>
    <x v="9"/>
    <s v="NY"/>
    <n v="1264"/>
    <x v="165"/>
  </r>
  <r>
    <s v="customer 167"/>
    <x v="133"/>
    <s v="5 years"/>
    <x v="0"/>
    <n v="17000"/>
    <s v="none"/>
    <x v="0"/>
    <x v="9"/>
    <s v="NY"/>
    <n v="2747"/>
    <x v="166"/>
  </r>
  <r>
    <s v="customer 168"/>
    <x v="134"/>
    <s v="5 years"/>
    <x v="2"/>
    <n v="40000"/>
    <s v="none"/>
    <x v="1"/>
    <x v="9"/>
    <s v="NY"/>
    <n v="2291"/>
    <x v="167"/>
  </r>
  <r>
    <s v="customer 169"/>
    <x v="33"/>
    <s v="5 years"/>
    <x v="0"/>
    <n v="50000"/>
    <s v="none"/>
    <x v="2"/>
    <x v="9"/>
    <s v="NY"/>
    <n v="2214"/>
    <x v="168"/>
  </r>
  <r>
    <s v="customer 170"/>
    <x v="119"/>
    <s v="5 years"/>
    <x v="0"/>
    <n v="33000"/>
    <s v="none"/>
    <x v="2"/>
    <x v="9"/>
    <s v="NY"/>
    <n v="1656"/>
    <x v="169"/>
  </r>
  <r>
    <s v="customer 171"/>
    <x v="0"/>
    <s v="none"/>
    <x v="0"/>
    <n v="53000"/>
    <s v="none"/>
    <x v="1"/>
    <x v="3"/>
    <s v="MI"/>
    <n v="1757"/>
    <x v="170"/>
  </r>
  <r>
    <s v="customer 172"/>
    <x v="135"/>
    <s v="5 years"/>
    <x v="0"/>
    <n v="32000"/>
    <s v="none"/>
    <x v="1"/>
    <x v="9"/>
    <s v="NY"/>
    <n v="2571"/>
    <x v="171"/>
  </r>
  <r>
    <s v="customer 173"/>
    <x v="136"/>
    <s v="5 years"/>
    <x v="0"/>
    <n v="37643"/>
    <s v="none"/>
    <x v="2"/>
    <x v="9"/>
    <s v="NY"/>
    <n v="3602"/>
    <x v="172"/>
  </r>
  <r>
    <s v="customer 174"/>
    <x v="0"/>
    <s v="5 years"/>
    <x v="0"/>
    <n v="42750"/>
    <s v="none"/>
    <x v="0"/>
    <x v="9"/>
    <s v="NY"/>
    <n v="5998"/>
    <x v="173"/>
  </r>
  <r>
    <s v="customer 175"/>
    <x v="20"/>
    <s v="5 years"/>
    <x v="0"/>
    <n v="75000"/>
    <s v="none"/>
    <x v="1"/>
    <x v="9"/>
    <s v="NY"/>
    <n v="2484"/>
    <x v="174"/>
  </r>
  <r>
    <s v="customer 176"/>
    <x v="137"/>
    <s v="5 years"/>
    <x v="0"/>
    <n v="60000"/>
    <s v="none"/>
    <x v="1"/>
    <x v="9"/>
    <s v="NY"/>
    <n v="2392"/>
    <x v="175"/>
  </r>
  <r>
    <s v="customer 177"/>
    <x v="138"/>
    <s v="5 years"/>
    <x v="0"/>
    <n v="120000"/>
    <s v="none"/>
    <x v="2"/>
    <x v="9"/>
    <s v="NY"/>
    <n v="4460"/>
    <x v="176"/>
  </r>
  <r>
    <s v="customer 178"/>
    <x v="139"/>
    <s v="5 years"/>
    <x v="0"/>
    <n v="40000"/>
    <s v="none"/>
    <x v="2"/>
    <x v="9"/>
    <s v="NY"/>
    <n v="7857"/>
    <x v="177"/>
  </r>
  <r>
    <s v="customer 179"/>
    <x v="140"/>
    <s v="5 years"/>
    <x v="0"/>
    <n v="66000"/>
    <s v="none"/>
    <x v="1"/>
    <x v="9"/>
    <s v="NY"/>
    <n v="22065"/>
    <x v="178"/>
  </r>
  <r>
    <s v="customer 180"/>
    <x v="63"/>
    <s v="5 years"/>
    <x v="0"/>
    <n v="52000"/>
    <s v="none"/>
    <x v="0"/>
    <x v="9"/>
    <s v="NY"/>
    <n v="3274"/>
    <x v="179"/>
  </r>
  <r>
    <s v="customer 181"/>
    <x v="141"/>
    <s v="5 years"/>
    <x v="0"/>
    <n v="140000"/>
    <s v="none"/>
    <x v="2"/>
    <x v="9"/>
    <s v="NY"/>
    <n v="5694"/>
    <x v="180"/>
  </r>
  <r>
    <s v="customer 182"/>
    <x v="0"/>
    <s v="none"/>
    <x v="0"/>
    <n v="44000"/>
    <s v="none"/>
    <x v="1"/>
    <x v="3"/>
    <s v="MI"/>
    <n v="11112"/>
    <x v="181"/>
  </r>
  <r>
    <s v="customer 183"/>
    <x v="142"/>
    <s v="5 years"/>
    <x v="0"/>
    <n v="70000"/>
    <s v="none"/>
    <x v="2"/>
    <x v="9"/>
    <s v="NY"/>
    <n v="1847"/>
    <x v="182"/>
  </r>
  <r>
    <s v="customer 184"/>
    <x v="39"/>
    <s v="5 years"/>
    <x v="1"/>
    <n v="60000"/>
    <s v="none"/>
    <x v="2"/>
    <x v="9"/>
    <s v="NY"/>
    <n v="1248"/>
    <x v="183"/>
  </r>
  <r>
    <s v="customer 185"/>
    <x v="143"/>
    <s v="5 years"/>
    <x v="0"/>
    <n v="45000"/>
    <s v="none"/>
    <x v="2"/>
    <x v="9"/>
    <s v="NY"/>
    <n v="16959"/>
    <x v="184"/>
  </r>
  <r>
    <s v="customer 186"/>
    <x v="144"/>
    <s v="5 years"/>
    <x v="0"/>
    <n v="40000"/>
    <s v="none"/>
    <x v="2"/>
    <x v="9"/>
    <s v="NY"/>
    <n v="1682"/>
    <x v="185"/>
  </r>
  <r>
    <s v="customer 187"/>
    <x v="145"/>
    <s v="5 years"/>
    <x v="0"/>
    <n v="42000"/>
    <s v="none"/>
    <x v="2"/>
    <x v="9"/>
    <s v="NY"/>
    <n v="842"/>
    <x v="186"/>
  </r>
  <r>
    <s v="customer 188"/>
    <x v="38"/>
    <s v="5 years"/>
    <x v="1"/>
    <n v="115000"/>
    <s v="none"/>
    <x v="2"/>
    <x v="9"/>
    <s v="NY"/>
    <n v="63974"/>
    <x v="187"/>
  </r>
  <r>
    <s v="customer 189"/>
    <x v="146"/>
    <s v="5 years"/>
    <x v="0"/>
    <n v="100000"/>
    <s v="none"/>
    <x v="2"/>
    <x v="9"/>
    <s v="NY"/>
    <n v="5819"/>
    <x v="188"/>
  </r>
  <r>
    <s v="customer 190"/>
    <x v="147"/>
    <s v="5 years"/>
    <x v="0"/>
    <n v="75000"/>
    <s v="none"/>
    <x v="2"/>
    <x v="9"/>
    <s v="NY"/>
    <n v="3458"/>
    <x v="189"/>
  </r>
  <r>
    <s v="customer 191"/>
    <x v="148"/>
    <s v="5 years"/>
    <x v="2"/>
    <n v="11000"/>
    <s v="none"/>
    <x v="0"/>
    <x v="9"/>
    <s v="NY"/>
    <n v="661"/>
    <x v="190"/>
  </r>
  <r>
    <s v="customer 192"/>
    <x v="149"/>
    <s v="5 years"/>
    <x v="1"/>
    <n v="180000"/>
    <s v="none"/>
    <x v="2"/>
    <x v="9"/>
    <s v="NY"/>
    <n v="56443"/>
    <x v="191"/>
  </r>
  <r>
    <s v="customer 193"/>
    <x v="0"/>
    <s v="none"/>
    <x v="1"/>
    <n v="40000"/>
    <s v="none"/>
    <x v="0"/>
    <x v="3"/>
    <s v="MI"/>
    <n v="22238"/>
    <x v="192"/>
  </r>
  <r>
    <s v="customer 194"/>
    <x v="150"/>
    <s v="5 years"/>
    <x v="0"/>
    <n v="54600"/>
    <s v="none"/>
    <x v="1"/>
    <x v="9"/>
    <s v="NY"/>
    <n v="1744"/>
    <x v="193"/>
  </r>
  <r>
    <s v="customer 195"/>
    <x v="151"/>
    <s v="5 years"/>
    <x v="0"/>
    <n v="52000"/>
    <s v="none"/>
    <x v="1"/>
    <x v="9"/>
    <s v="NY"/>
    <n v="5322"/>
    <x v="194"/>
  </r>
  <r>
    <s v="customer 196"/>
    <x v="152"/>
    <s v="5 years"/>
    <x v="0"/>
    <n v="85000"/>
    <s v="none"/>
    <x v="2"/>
    <x v="9"/>
    <s v="NY"/>
    <n v="93203"/>
    <x v="195"/>
  </r>
  <r>
    <s v="customer 197"/>
    <x v="153"/>
    <s v="5 years"/>
    <x v="0"/>
    <n v="51000"/>
    <s v="none"/>
    <x v="2"/>
    <x v="9"/>
    <s v="NY"/>
    <n v="2274"/>
    <x v="196"/>
  </r>
  <r>
    <s v="customer 198"/>
    <x v="3"/>
    <s v="5 years"/>
    <x v="0"/>
    <n v="55000"/>
    <s v="none"/>
    <x v="1"/>
    <x v="9"/>
    <s v="NY"/>
    <n v="5331"/>
    <x v="197"/>
  </r>
  <r>
    <s v="customer 199"/>
    <x v="128"/>
    <s v="5 years"/>
    <x v="2"/>
    <n v="150000"/>
    <s v="none"/>
    <x v="1"/>
    <x v="9"/>
    <s v="NY"/>
    <n v="6291"/>
    <x v="198"/>
  </r>
  <r>
    <s v="customer 200"/>
    <x v="24"/>
    <s v="5 years"/>
    <x v="0"/>
    <n v="64000"/>
    <s v="none"/>
    <x v="2"/>
    <x v="9"/>
    <s v="NY"/>
    <n v="13427"/>
    <x v="199"/>
  </r>
  <r>
    <s v="customer 201"/>
    <x v="154"/>
    <s v="5 years"/>
    <x v="0"/>
    <n v="160800"/>
    <s v="none"/>
    <x v="1"/>
    <x v="9"/>
    <s v="NY"/>
    <n v="2363"/>
    <x v="200"/>
  </r>
  <r>
    <s v="customer 202"/>
    <x v="155"/>
    <s v="5 years"/>
    <x v="0"/>
    <n v="65000"/>
    <s v="none"/>
    <x v="2"/>
    <x v="9"/>
    <s v="NY"/>
    <n v="2277"/>
    <x v="201"/>
  </r>
  <r>
    <s v="customer 203"/>
    <x v="156"/>
    <s v="5 years"/>
    <x v="0"/>
    <n v="64000"/>
    <s v="none"/>
    <x v="1"/>
    <x v="9"/>
    <s v="NY"/>
    <n v="11796"/>
    <x v="202"/>
  </r>
  <r>
    <s v="customer 204"/>
    <x v="0"/>
    <s v="none"/>
    <x v="1"/>
    <n v="65000"/>
    <s v="none"/>
    <x v="1"/>
    <x v="3"/>
    <s v="MI"/>
    <n v="4960"/>
    <x v="203"/>
  </r>
  <r>
    <s v="customer 205"/>
    <x v="157"/>
    <s v="5 years"/>
    <x v="2"/>
    <n v="47400"/>
    <s v="none"/>
    <x v="2"/>
    <x v="9"/>
    <s v="NY"/>
    <n v="14103"/>
    <x v="204"/>
  </r>
  <r>
    <s v="customer 206"/>
    <x v="158"/>
    <s v="5 years"/>
    <x v="0"/>
    <n v="61000"/>
    <s v="none"/>
    <x v="1"/>
    <x v="9"/>
    <s v="NY"/>
    <n v="1582"/>
    <x v="205"/>
  </r>
  <r>
    <s v="customer 207"/>
    <x v="159"/>
    <s v="5 years"/>
    <x v="0"/>
    <n v="68000"/>
    <s v="none"/>
    <x v="1"/>
    <x v="9"/>
    <s v="NY"/>
    <n v="21560"/>
    <x v="206"/>
  </r>
  <r>
    <s v="customer 208"/>
    <x v="160"/>
    <s v="5 years"/>
    <x v="0"/>
    <n v="50000"/>
    <s v="none"/>
    <x v="2"/>
    <x v="9"/>
    <s v="NY"/>
    <n v="1958"/>
    <x v="207"/>
  </r>
  <r>
    <s v="customer 209"/>
    <x v="39"/>
    <s v="5 years"/>
    <x v="0"/>
    <n v="70000"/>
    <s v="none"/>
    <x v="1"/>
    <x v="9"/>
    <s v="NY"/>
    <n v="13073"/>
    <x v="208"/>
  </r>
  <r>
    <s v="customer 210"/>
    <x v="24"/>
    <s v="5 years"/>
    <x v="0"/>
    <n v="146000"/>
    <s v="none"/>
    <x v="2"/>
    <x v="9"/>
    <s v="NY"/>
    <n v="5982"/>
    <x v="209"/>
  </r>
  <r>
    <s v="customer 211"/>
    <x v="161"/>
    <s v="5 years"/>
    <x v="0"/>
    <n v="70000"/>
    <s v="none"/>
    <x v="1"/>
    <x v="9"/>
    <s v="NY"/>
    <n v="6013"/>
    <x v="210"/>
  </r>
  <r>
    <s v="customer 212"/>
    <x v="162"/>
    <s v="5 years"/>
    <x v="0"/>
    <n v="40000"/>
    <s v="none"/>
    <x v="1"/>
    <x v="9"/>
    <s v="NY"/>
    <n v="798"/>
    <x v="211"/>
  </r>
  <r>
    <s v="customer 213"/>
    <x v="163"/>
    <s v="5 years"/>
    <x v="0"/>
    <n v="150000"/>
    <s v="none"/>
    <x v="0"/>
    <x v="9"/>
    <s v="NY"/>
    <n v="2264"/>
    <x v="212"/>
  </r>
  <r>
    <s v="customer 214"/>
    <x v="164"/>
    <s v="5 years"/>
    <x v="0"/>
    <n v="75000"/>
    <s v="none"/>
    <x v="2"/>
    <x v="9"/>
    <s v="NY"/>
    <n v="3163"/>
    <x v="213"/>
  </r>
  <r>
    <s v="customer 215"/>
    <x v="0"/>
    <s v="none"/>
    <x v="1"/>
    <n v="70000"/>
    <s v="none"/>
    <x v="0"/>
    <x v="3"/>
    <s v="MI"/>
    <n v="13484"/>
    <x v="214"/>
  </r>
  <r>
    <s v="customer 216"/>
    <x v="165"/>
    <s v="5 years"/>
    <x v="0"/>
    <n v="150000"/>
    <s v="none"/>
    <x v="2"/>
    <x v="9"/>
    <s v="NY"/>
    <n v="7899"/>
    <x v="215"/>
  </r>
  <r>
    <s v="customer 217"/>
    <x v="166"/>
    <s v="5 years"/>
    <x v="0"/>
    <n v="35000"/>
    <s v="none"/>
    <x v="0"/>
    <x v="9"/>
    <s v="NY"/>
    <n v="786"/>
    <x v="216"/>
  </r>
  <r>
    <s v="customer 218"/>
    <x v="0"/>
    <s v="5 years"/>
    <x v="0"/>
    <n v="85000"/>
    <s v="none"/>
    <x v="0"/>
    <x v="9"/>
    <s v="NY"/>
    <n v="2274"/>
    <x v="217"/>
  </r>
  <r>
    <s v="customer 219"/>
    <x v="167"/>
    <s v="5 years"/>
    <x v="0"/>
    <n v="41000"/>
    <s v="none"/>
    <x v="0"/>
    <x v="9"/>
    <s v="NY"/>
    <n v="2735"/>
    <x v="218"/>
  </r>
  <r>
    <s v="customer 220"/>
    <x v="134"/>
    <s v="5 years"/>
    <x v="0"/>
    <n v="39500"/>
    <s v="none"/>
    <x v="1"/>
    <x v="9"/>
    <s v="NY"/>
    <n v="2000"/>
    <x v="219"/>
  </r>
  <r>
    <s v="customer 221"/>
    <x v="168"/>
    <s v="5 years"/>
    <x v="0"/>
    <n v="49000"/>
    <s v="none"/>
    <x v="1"/>
    <x v="9"/>
    <s v="NY"/>
    <n v="4623"/>
    <x v="220"/>
  </r>
  <r>
    <s v="customer 222"/>
    <x v="169"/>
    <s v="5 years"/>
    <x v="0"/>
    <n v="120000"/>
    <s v="24nonenonenonenone"/>
    <x v="2"/>
    <x v="9"/>
    <s v="NY"/>
    <n v="513"/>
    <x v="221"/>
  </r>
  <r>
    <s v="customer 223"/>
    <x v="0"/>
    <s v="5 years"/>
    <x v="0"/>
    <n v="150000"/>
    <s v="none"/>
    <x v="2"/>
    <x v="9"/>
    <s v="NY"/>
    <n v="3990"/>
    <x v="222"/>
  </r>
  <r>
    <s v="customer 224"/>
    <x v="33"/>
    <s v="5 years"/>
    <x v="1"/>
    <n v="52000"/>
    <s v="none"/>
    <x v="2"/>
    <x v="9"/>
    <s v="NY"/>
    <n v="2163"/>
    <x v="223"/>
  </r>
  <r>
    <s v="customer 225"/>
    <x v="170"/>
    <s v="5 years"/>
    <x v="0"/>
    <n v="24000"/>
    <s v="none"/>
    <x v="1"/>
    <x v="9"/>
    <s v="NY"/>
    <n v="1715"/>
    <x v="224"/>
  </r>
  <r>
    <s v="customer 226"/>
    <x v="0"/>
    <s v="none"/>
    <x v="0"/>
    <n v="95000"/>
    <s v="none"/>
    <x v="0"/>
    <x v="2"/>
    <s v="NJ"/>
    <n v="3946"/>
    <x v="225"/>
  </r>
  <r>
    <s v="customer 227"/>
    <x v="0"/>
    <s v="none"/>
    <x v="1"/>
    <n v="40000"/>
    <s v="none"/>
    <x v="1"/>
    <x v="10"/>
    <s v="MI"/>
    <n v="5288"/>
    <x v="226"/>
  </r>
  <r>
    <s v="customer 228"/>
    <x v="171"/>
    <s v="5 years"/>
    <x v="2"/>
    <n v="55000"/>
    <s v="13nonenonenonenone"/>
    <x v="1"/>
    <x v="9"/>
    <s v="NY"/>
    <n v="494"/>
    <x v="227"/>
  </r>
  <r>
    <s v="customer 229"/>
    <x v="9"/>
    <s v="5 years"/>
    <x v="2"/>
    <n v="40000"/>
    <s v="none"/>
    <x v="2"/>
    <x v="9"/>
    <s v="NY"/>
    <n v="2482"/>
    <x v="228"/>
  </r>
  <r>
    <s v="customer 230"/>
    <x v="172"/>
    <s v="5 years"/>
    <x v="0"/>
    <n v="52500"/>
    <s v="none"/>
    <x v="0"/>
    <x v="9"/>
    <s v="NY"/>
    <n v="2743"/>
    <x v="229"/>
  </r>
  <r>
    <s v="customer 231"/>
    <x v="173"/>
    <s v="5 years"/>
    <x v="2"/>
    <n v="45000"/>
    <s v="none"/>
    <x v="1"/>
    <x v="9"/>
    <s v="NY"/>
    <n v="2927"/>
    <x v="230"/>
  </r>
  <r>
    <s v="customer 232"/>
    <x v="174"/>
    <s v="5 years"/>
    <x v="0"/>
    <n v="42800"/>
    <s v="none"/>
    <x v="0"/>
    <x v="9"/>
    <s v="NY"/>
    <n v="3194"/>
    <x v="231"/>
  </r>
  <r>
    <s v="customer 233"/>
    <x v="3"/>
    <s v="5 years"/>
    <x v="0"/>
    <n v="55000"/>
    <s v="none"/>
    <x v="1"/>
    <x v="9"/>
    <s v="NY"/>
    <n v="2768"/>
    <x v="232"/>
  </r>
  <r>
    <s v="customer 234"/>
    <x v="175"/>
    <s v="5 years"/>
    <x v="0"/>
    <n v="63000"/>
    <s v="none"/>
    <x v="0"/>
    <x v="9"/>
    <s v="NY"/>
    <n v="2537"/>
    <x v="233"/>
  </r>
  <r>
    <s v="customer 235"/>
    <x v="176"/>
    <s v="5 years"/>
    <x v="0"/>
    <n v="35000"/>
    <s v="none"/>
    <x v="2"/>
    <x v="9"/>
    <s v="NY"/>
    <n v="5860"/>
    <x v="234"/>
  </r>
  <r>
    <s v="customer 236"/>
    <x v="177"/>
    <s v="5 years"/>
    <x v="0"/>
    <n v="82000"/>
    <s v="159nonenonenone"/>
    <x v="1"/>
    <x v="9"/>
    <s v="NY"/>
    <n v="1378"/>
    <x v="235"/>
  </r>
  <r>
    <s v="customer 237"/>
    <x v="178"/>
    <s v="5 years"/>
    <x v="0"/>
    <n v="14600"/>
    <s v="none"/>
    <x v="2"/>
    <x v="9"/>
    <s v="NY"/>
    <n v="1098"/>
    <x v="236"/>
  </r>
  <r>
    <s v="customer 238"/>
    <x v="0"/>
    <s v="none"/>
    <x v="0"/>
    <n v="60000"/>
    <s v="none"/>
    <x v="0"/>
    <x v="10"/>
    <s v="MI"/>
    <n v="2717"/>
    <x v="237"/>
  </r>
  <r>
    <s v="customer 239"/>
    <x v="179"/>
    <s v="5 years"/>
    <x v="2"/>
    <n v="30000"/>
    <s v="none"/>
    <x v="2"/>
    <x v="9"/>
    <s v="NY"/>
    <n v="2455"/>
    <x v="238"/>
  </r>
  <r>
    <s v="customer 240"/>
    <x v="180"/>
    <s v="5 years"/>
    <x v="0"/>
    <n v="62000"/>
    <s v="none"/>
    <x v="2"/>
    <x v="9"/>
    <s v="NY"/>
    <n v="2173"/>
    <x v="239"/>
  </r>
  <r>
    <s v="customer 241"/>
    <x v="181"/>
    <s v="5 years"/>
    <x v="2"/>
    <n v="25000"/>
    <s v="none"/>
    <x v="1"/>
    <x v="9"/>
    <s v="NY"/>
    <n v="2472"/>
    <x v="240"/>
  </r>
  <r>
    <s v="customer 242"/>
    <x v="39"/>
    <s v="5 years"/>
    <x v="0"/>
    <n v="95000"/>
    <s v="none"/>
    <x v="2"/>
    <x v="9"/>
    <s v="NY"/>
    <n v="9656"/>
    <x v="241"/>
  </r>
  <r>
    <s v="customer 243"/>
    <x v="33"/>
    <s v="5 years"/>
    <x v="0"/>
    <n v="84000"/>
    <s v="none"/>
    <x v="1"/>
    <x v="9"/>
    <s v="NY"/>
    <n v="7198"/>
    <x v="242"/>
  </r>
  <r>
    <s v="customer 244"/>
    <x v="39"/>
    <s v="5 years"/>
    <x v="0"/>
    <n v="80000"/>
    <s v="none"/>
    <x v="0"/>
    <x v="9"/>
    <s v="NY"/>
    <n v="3938"/>
    <x v="243"/>
  </r>
  <r>
    <s v="customer 245"/>
    <x v="182"/>
    <s v="5 years"/>
    <x v="0"/>
    <n v="110000"/>
    <s v="none"/>
    <x v="2"/>
    <x v="9"/>
    <s v="NY"/>
    <n v="3970"/>
    <x v="244"/>
  </r>
  <r>
    <s v="customer 246"/>
    <x v="39"/>
    <s v="5 years"/>
    <x v="2"/>
    <n v="60000"/>
    <s v="19nonenonenonenone"/>
    <x v="2"/>
    <x v="9"/>
    <s v="NY"/>
    <n v="4905"/>
    <x v="245"/>
  </r>
  <r>
    <s v="customer 247"/>
    <x v="183"/>
    <s v="5 years"/>
    <x v="2"/>
    <n v="80000"/>
    <s v="none"/>
    <x v="0"/>
    <x v="9"/>
    <s v="NY"/>
    <n v="3515"/>
    <x v="246"/>
  </r>
  <r>
    <s v="customer 248"/>
    <x v="184"/>
    <s v="5 years"/>
    <x v="0"/>
    <n v="54000"/>
    <s v="none"/>
    <x v="1"/>
    <x v="9"/>
    <s v="NY"/>
    <n v="915"/>
    <x v="247"/>
  </r>
  <r>
    <s v="customer 249"/>
    <x v="0"/>
    <s v="none"/>
    <x v="0"/>
    <n v="33500"/>
    <s v="67nonenonenone"/>
    <x v="2"/>
    <x v="10"/>
    <s v="MI"/>
    <n v="2331"/>
    <x v="248"/>
  </r>
  <r>
    <s v="customer 250"/>
    <x v="185"/>
    <s v="5 years"/>
    <x v="1"/>
    <n v="65000"/>
    <s v="none"/>
    <x v="1"/>
    <x v="9"/>
    <s v="NY"/>
    <n v="18429"/>
    <x v="249"/>
  </r>
  <r>
    <s v="customer 251"/>
    <x v="162"/>
    <s v="5 years"/>
    <x v="0"/>
    <n v="50000"/>
    <s v="none"/>
    <x v="1"/>
    <x v="9"/>
    <s v="NY"/>
    <n v="976"/>
    <x v="250"/>
  </r>
  <r>
    <s v="customer 252"/>
    <x v="186"/>
    <s v="5 years"/>
    <x v="0"/>
    <n v="45000"/>
    <s v="none"/>
    <x v="1"/>
    <x v="9"/>
    <s v="NY"/>
    <n v="754"/>
    <x v="251"/>
  </r>
  <r>
    <s v="customer 253"/>
    <x v="187"/>
    <s v="5 years"/>
    <x v="1"/>
    <n v="9300086"/>
    <s v="none"/>
    <x v="1"/>
    <x v="9"/>
    <s v="NY"/>
    <n v="27919"/>
    <x v="252"/>
  </r>
  <r>
    <s v="customer 254"/>
    <x v="188"/>
    <s v="5 years"/>
    <x v="0"/>
    <n v="75000"/>
    <s v="none"/>
    <x v="1"/>
    <x v="9"/>
    <s v="NY"/>
    <n v="2269"/>
    <x v="253"/>
  </r>
  <r>
    <s v="customer 255"/>
    <x v="189"/>
    <s v="5 years"/>
    <x v="0"/>
    <n v="55000"/>
    <s v="none"/>
    <x v="1"/>
    <x v="9"/>
    <s v="NY"/>
    <n v="588"/>
    <x v="254"/>
  </r>
  <r>
    <s v="customer 256"/>
    <x v="190"/>
    <s v="5 years"/>
    <x v="0"/>
    <n v="38000"/>
    <s v="none"/>
    <x v="2"/>
    <x v="9"/>
    <s v="NY"/>
    <n v="3186"/>
    <x v="255"/>
  </r>
  <r>
    <s v="customer 257"/>
    <x v="191"/>
    <s v="5 years"/>
    <x v="0"/>
    <n v="67000"/>
    <s v="none"/>
    <x v="0"/>
    <x v="9"/>
    <s v="NY"/>
    <n v="3776"/>
    <x v="256"/>
  </r>
  <r>
    <s v="customer 258"/>
    <x v="192"/>
    <s v="5 years"/>
    <x v="0"/>
    <n v="65000"/>
    <s v="none"/>
    <x v="1"/>
    <x v="9"/>
    <s v="NY"/>
    <n v="6290"/>
    <x v="257"/>
  </r>
  <r>
    <s v="customer 259"/>
    <x v="193"/>
    <s v="5 years"/>
    <x v="0"/>
    <n v="42000"/>
    <s v="none"/>
    <x v="2"/>
    <x v="9"/>
    <s v="NY"/>
    <n v="2443"/>
    <x v="258"/>
  </r>
  <r>
    <s v="customer 260"/>
    <x v="0"/>
    <s v="none"/>
    <x v="2"/>
    <n v="80000"/>
    <s v="none"/>
    <x v="0"/>
    <x v="10"/>
    <s v="MI"/>
    <n v="27744"/>
    <x v="259"/>
  </r>
  <r>
    <s v="customer 261"/>
    <x v="194"/>
    <s v="5 years"/>
    <x v="0"/>
    <n v="60000"/>
    <s v="none"/>
    <x v="2"/>
    <x v="9"/>
    <s v="NY"/>
    <n v="2032"/>
    <x v="260"/>
  </r>
  <r>
    <s v="customer 262"/>
    <x v="39"/>
    <s v="5 years"/>
    <x v="0"/>
    <n v="68000"/>
    <s v="none"/>
    <x v="2"/>
    <x v="9"/>
    <s v="NY"/>
    <n v="2892"/>
    <x v="261"/>
  </r>
  <r>
    <s v="customer 263"/>
    <x v="195"/>
    <s v="5 years"/>
    <x v="0"/>
    <n v="158218"/>
    <s v="none"/>
    <x v="1"/>
    <x v="9"/>
    <s v="NY"/>
    <n v="883"/>
    <x v="262"/>
  </r>
  <r>
    <s v="customer 264"/>
    <x v="196"/>
    <s v="5 years"/>
    <x v="0"/>
    <n v="130000"/>
    <s v="none"/>
    <x v="2"/>
    <x v="9"/>
    <s v="NY"/>
    <n v="1797"/>
    <x v="263"/>
  </r>
  <r>
    <s v="customer 265"/>
    <x v="197"/>
    <s v="5 years"/>
    <x v="1"/>
    <n v="92000"/>
    <s v="none"/>
    <x v="1"/>
    <x v="9"/>
    <s v="NY"/>
    <n v="56524"/>
    <x v="264"/>
  </r>
  <r>
    <s v="customer 266"/>
    <x v="198"/>
    <s v="5 years"/>
    <x v="0"/>
    <n v="70000"/>
    <s v="none"/>
    <x v="2"/>
    <x v="9"/>
    <s v="NY"/>
    <n v="6091"/>
    <x v="265"/>
  </r>
  <r>
    <s v="customer 267"/>
    <x v="199"/>
    <s v="5 years"/>
    <x v="2"/>
    <n v="135000"/>
    <s v="none"/>
    <x v="2"/>
    <x v="9"/>
    <s v="NY"/>
    <n v="9243"/>
    <x v="266"/>
  </r>
  <r>
    <s v="customer 268"/>
    <x v="200"/>
    <s v="5 years"/>
    <x v="0"/>
    <n v="100000"/>
    <s v="none"/>
    <x v="2"/>
    <x v="9"/>
    <s v="NY"/>
    <n v="4388"/>
    <x v="267"/>
  </r>
  <r>
    <s v="customer 269"/>
    <x v="201"/>
    <s v="5 years"/>
    <x v="0"/>
    <n v="80000"/>
    <s v="none"/>
    <x v="2"/>
    <x v="9"/>
    <s v="NY"/>
    <n v="4467"/>
    <x v="268"/>
  </r>
  <r>
    <s v="customer 270"/>
    <x v="202"/>
    <s v="5 years"/>
    <x v="0"/>
    <n v="60000"/>
    <s v="none"/>
    <x v="2"/>
    <x v="9"/>
    <s v="NY"/>
    <n v="3154"/>
    <x v="269"/>
  </r>
  <r>
    <s v="customer 271"/>
    <x v="0"/>
    <s v="none"/>
    <x v="0"/>
    <n v="14664"/>
    <s v="none"/>
    <x v="0"/>
    <x v="10"/>
    <s v="MI"/>
    <n v="783"/>
    <x v="270"/>
  </r>
  <r>
    <s v="customer 272"/>
    <x v="203"/>
    <s v="5 years"/>
    <x v="0"/>
    <n v="65000"/>
    <s v="none"/>
    <x v="2"/>
    <x v="9"/>
    <s v="NY"/>
    <n v="5069"/>
    <x v="271"/>
  </r>
  <r>
    <s v="customer 273"/>
    <x v="204"/>
    <s v="5 years"/>
    <x v="0"/>
    <n v="58000"/>
    <s v="none"/>
    <x v="2"/>
    <x v="9"/>
    <s v="NY"/>
    <n v="6419"/>
    <x v="272"/>
  </r>
  <r>
    <s v="customer 274"/>
    <x v="205"/>
    <s v="5 years"/>
    <x v="0"/>
    <n v="35363"/>
    <s v="none"/>
    <x v="2"/>
    <x v="9"/>
    <s v="NY"/>
    <n v="1359"/>
    <x v="273"/>
  </r>
  <r>
    <s v="customer 275"/>
    <x v="206"/>
    <s v="5 years"/>
    <x v="0"/>
    <n v="35000"/>
    <s v="none"/>
    <x v="2"/>
    <x v="9"/>
    <s v="NY"/>
    <n v="2214"/>
    <x v="274"/>
  </r>
  <r>
    <s v="customer 276"/>
    <x v="207"/>
    <s v="5 years"/>
    <x v="0"/>
    <n v="80000"/>
    <s v="none"/>
    <x v="1"/>
    <x v="9"/>
    <s v="NY"/>
    <n v="2715"/>
    <x v="275"/>
  </r>
  <r>
    <s v="customer 277"/>
    <x v="130"/>
    <s v="5 years"/>
    <x v="0"/>
    <n v="98200"/>
    <s v="none"/>
    <x v="1"/>
    <x v="9"/>
    <s v="NY"/>
    <n v="2931"/>
    <x v="276"/>
  </r>
  <r>
    <s v="customer 278"/>
    <x v="208"/>
    <s v="5 years"/>
    <x v="0"/>
    <n v="495000"/>
    <s v="none"/>
    <x v="2"/>
    <x v="9"/>
    <s v="NY"/>
    <n v="6362"/>
    <x v="277"/>
  </r>
  <r>
    <s v="customer 279"/>
    <x v="209"/>
    <s v="5 years"/>
    <x v="0"/>
    <n v="31200"/>
    <s v="none"/>
    <x v="2"/>
    <x v="9"/>
    <s v="NY"/>
    <n v="262"/>
    <x v="278"/>
  </r>
  <r>
    <s v="customer 280"/>
    <x v="210"/>
    <s v="5 years"/>
    <x v="0"/>
    <n v="42000"/>
    <s v="none"/>
    <x v="0"/>
    <x v="9"/>
    <s v="NY"/>
    <n v="5418"/>
    <x v="279"/>
  </r>
  <r>
    <s v="customer 281"/>
    <x v="33"/>
    <s v="5 years"/>
    <x v="0"/>
    <n v="84000"/>
    <s v="none"/>
    <x v="0"/>
    <x v="9"/>
    <s v="NY"/>
    <n v="31"/>
    <x v="280"/>
  </r>
  <r>
    <s v="customer 282"/>
    <x v="0"/>
    <s v="none"/>
    <x v="0"/>
    <n v="20000"/>
    <s v="15nonenonenonenone"/>
    <x v="2"/>
    <x v="10"/>
    <s v="MI"/>
    <n v="427"/>
    <x v="281"/>
  </r>
  <r>
    <s v="customer 283"/>
    <x v="140"/>
    <s v="5 years"/>
    <x v="0"/>
    <n v="55000"/>
    <s v="none"/>
    <x v="0"/>
    <x v="9"/>
    <s v="NY"/>
    <n v="2758"/>
    <x v="282"/>
  </r>
  <r>
    <s v="customer 284"/>
    <x v="211"/>
    <s v="5 years"/>
    <x v="0"/>
    <n v="45000"/>
    <s v="none"/>
    <x v="2"/>
    <x v="9"/>
    <s v="NY"/>
    <n v="3634"/>
    <x v="283"/>
  </r>
  <r>
    <s v="customer 285"/>
    <x v="212"/>
    <s v="5 years"/>
    <x v="0"/>
    <n v="90000"/>
    <s v="none"/>
    <x v="2"/>
    <x v="9"/>
    <s v="NY"/>
    <n v="9657"/>
    <x v="284"/>
  </r>
  <r>
    <s v="customer 286"/>
    <x v="213"/>
    <s v="5 years"/>
    <x v="0"/>
    <n v="60000"/>
    <s v="none"/>
    <x v="1"/>
    <x v="9"/>
    <s v="NY"/>
    <n v="1947"/>
    <x v="285"/>
  </r>
  <r>
    <s v="customer 287"/>
    <x v="214"/>
    <s v="5 years"/>
    <x v="0"/>
    <n v="46000"/>
    <s v="none"/>
    <x v="2"/>
    <x v="9"/>
    <s v="NY"/>
    <n v="209"/>
    <x v="286"/>
  </r>
  <r>
    <s v="customer 288"/>
    <x v="215"/>
    <s v="5 years"/>
    <x v="0"/>
    <n v="35000"/>
    <s v="none"/>
    <x v="1"/>
    <x v="9"/>
    <s v="NY"/>
    <n v="6762"/>
    <x v="287"/>
  </r>
  <r>
    <s v="customer 289"/>
    <x v="216"/>
    <s v="5 years"/>
    <x v="0"/>
    <n v="155000"/>
    <s v="none"/>
    <x v="2"/>
    <x v="9"/>
    <s v="NY"/>
    <n v="2542"/>
    <x v="288"/>
  </r>
  <r>
    <s v="customer 290"/>
    <x v="217"/>
    <s v="5 years"/>
    <x v="0"/>
    <n v="65000"/>
    <s v="none"/>
    <x v="2"/>
    <x v="9"/>
    <s v="NY"/>
    <n v="5973"/>
    <x v="289"/>
  </r>
  <r>
    <s v="customer 291"/>
    <x v="218"/>
    <s v="5 years"/>
    <x v="0"/>
    <n v="165000"/>
    <s v="253nonenonenone"/>
    <x v="1"/>
    <x v="9"/>
    <s v="NY"/>
    <n v="13875"/>
    <x v="290"/>
  </r>
  <r>
    <s v="customer 292"/>
    <x v="219"/>
    <s v="5 years"/>
    <x v="2"/>
    <n v="65000"/>
    <s v="none"/>
    <x v="1"/>
    <x v="9"/>
    <s v="NY"/>
    <n v="4343"/>
    <x v="291"/>
  </r>
  <r>
    <s v="customer 293"/>
    <x v="0"/>
    <s v="none"/>
    <x v="2"/>
    <n v="59000"/>
    <s v="none"/>
    <x v="0"/>
    <x v="10"/>
    <s v="MI"/>
    <n v="1641"/>
    <x v="292"/>
  </r>
  <r>
    <s v="customer 294"/>
    <x v="146"/>
    <s v="5 years"/>
    <x v="0"/>
    <n v="100000"/>
    <s v="none"/>
    <x v="2"/>
    <x v="9"/>
    <s v="NY"/>
    <n v="10628"/>
    <x v="293"/>
  </r>
  <r>
    <s v="customer 295"/>
    <x v="220"/>
    <s v="5 years"/>
    <x v="0"/>
    <n v="33000"/>
    <s v="none"/>
    <x v="0"/>
    <x v="9"/>
    <s v="NY"/>
    <n v="1085"/>
    <x v="294"/>
  </r>
  <r>
    <s v="customer 296"/>
    <x v="210"/>
    <s v="5 years"/>
    <x v="0"/>
    <n v="76000"/>
    <s v="none"/>
    <x v="0"/>
    <x v="9"/>
    <s v="NY"/>
    <n v="3341"/>
    <x v="295"/>
  </r>
  <r>
    <s v="customer 297"/>
    <x v="221"/>
    <s v="5 years"/>
    <x v="0"/>
    <n v="84000"/>
    <s v="none"/>
    <x v="2"/>
    <x v="9"/>
    <s v="NY"/>
    <n v="1246"/>
    <x v="296"/>
  </r>
  <r>
    <s v="customer 298"/>
    <x v="222"/>
    <s v="5 years"/>
    <x v="0"/>
    <n v="36000"/>
    <s v="none"/>
    <x v="1"/>
    <x v="9"/>
    <s v="NY"/>
    <n v="2227"/>
    <x v="297"/>
  </r>
  <r>
    <s v="customer 299"/>
    <x v="156"/>
    <s v="5 years"/>
    <x v="0"/>
    <n v="63000"/>
    <s v="none"/>
    <x v="1"/>
    <x v="9"/>
    <s v="NY"/>
    <n v="12442"/>
    <x v="298"/>
  </r>
  <r>
    <s v="customer 300"/>
    <x v="24"/>
    <s v="5 years"/>
    <x v="0"/>
    <n v="275000"/>
    <s v="none"/>
    <x v="0"/>
    <x v="9"/>
    <s v="NY"/>
    <n v="6379"/>
    <x v="299"/>
  </r>
  <r>
    <s v="customer 301"/>
    <x v="223"/>
    <s v="5 years"/>
    <x v="2"/>
    <n v="60000"/>
    <s v="none"/>
    <x v="0"/>
    <x v="9"/>
    <s v="NY"/>
    <n v="2644"/>
    <x v="300"/>
  </r>
  <r>
    <s v="customer 302"/>
    <x v="224"/>
    <s v="5 years"/>
    <x v="2"/>
    <n v="50000"/>
    <s v="none"/>
    <x v="1"/>
    <x v="9"/>
    <s v="NY"/>
    <n v="1737"/>
    <x v="301"/>
  </r>
  <r>
    <s v="customer 303"/>
    <x v="225"/>
    <s v="5 years"/>
    <x v="0"/>
    <n v="105000"/>
    <s v="none"/>
    <x v="2"/>
    <x v="9"/>
    <s v="NY"/>
    <n v="2752"/>
    <x v="302"/>
  </r>
  <r>
    <s v="customer 304"/>
    <x v="0"/>
    <s v="none"/>
    <x v="1"/>
    <n v="42885"/>
    <s v="none"/>
    <x v="0"/>
    <x v="10"/>
    <s v="MI"/>
    <n v="14992"/>
    <x v="303"/>
  </r>
  <r>
    <s v="customer 305"/>
    <x v="226"/>
    <s v="5 years"/>
    <x v="0"/>
    <n v="58000"/>
    <s v="none"/>
    <x v="0"/>
    <x v="9"/>
    <s v="NY"/>
    <n v="679"/>
    <x v="304"/>
  </r>
  <r>
    <s v="customer 306"/>
    <x v="33"/>
    <s v="5 years"/>
    <x v="0"/>
    <n v="35000"/>
    <s v="none"/>
    <x v="0"/>
    <x v="9"/>
    <s v="NY"/>
    <n v="1402"/>
    <x v="305"/>
  </r>
  <r>
    <s v="customer 307"/>
    <x v="227"/>
    <s v="5 years"/>
    <x v="0"/>
    <n v="25000"/>
    <s v="none"/>
    <x v="1"/>
    <x v="9"/>
    <s v="NY"/>
    <n v="671"/>
    <x v="306"/>
  </r>
  <r>
    <s v="customer 308"/>
    <x v="228"/>
    <s v="5 years"/>
    <x v="0"/>
    <n v="55000"/>
    <s v="none"/>
    <x v="1"/>
    <x v="9"/>
    <s v="NY"/>
    <n v="2230"/>
    <x v="307"/>
  </r>
  <r>
    <s v="customer 309"/>
    <x v="229"/>
    <s v="5 years"/>
    <x v="0"/>
    <n v="120000"/>
    <s v="none"/>
    <x v="1"/>
    <x v="9"/>
    <s v="NY"/>
    <n v="5431"/>
    <x v="308"/>
  </r>
  <r>
    <s v="customer 310"/>
    <x v="230"/>
    <s v="5 years"/>
    <x v="2"/>
    <n v="117000"/>
    <s v="none"/>
    <x v="2"/>
    <x v="9"/>
    <s v="NY"/>
    <n v="36591"/>
    <x v="309"/>
  </r>
  <r>
    <s v="customer 311"/>
    <x v="231"/>
    <s v="5 years"/>
    <x v="2"/>
    <n v="25000"/>
    <s v="none"/>
    <x v="2"/>
    <x v="9"/>
    <s v="NY"/>
    <n v="1690"/>
    <x v="310"/>
  </r>
  <r>
    <s v="customer 312"/>
    <x v="232"/>
    <s v="5 years"/>
    <x v="0"/>
    <n v="28800"/>
    <s v="none"/>
    <x v="0"/>
    <x v="9"/>
    <s v="NY"/>
    <n v="953"/>
    <x v="311"/>
  </r>
  <r>
    <s v="customer 313"/>
    <x v="96"/>
    <s v="5 years"/>
    <x v="0"/>
    <n v="75000"/>
    <s v="none"/>
    <x v="2"/>
    <x v="9"/>
    <s v="NY"/>
    <n v="1549"/>
    <x v="312"/>
  </r>
  <r>
    <s v="customer 314"/>
    <x v="233"/>
    <s v="5 years"/>
    <x v="0"/>
    <n v="34000"/>
    <s v="none"/>
    <x v="2"/>
    <x v="9"/>
    <s v="NY"/>
    <n v="561"/>
    <x v="313"/>
  </r>
  <r>
    <s v="customer 315"/>
    <x v="0"/>
    <s v="none"/>
    <x v="1"/>
    <n v="42000"/>
    <s v="132nonenonenone"/>
    <x v="1"/>
    <x v="10"/>
    <s v="MI"/>
    <n v="55086"/>
    <x v="314"/>
  </r>
  <r>
    <s v="customer 316"/>
    <x v="234"/>
    <s v="5 years"/>
    <x v="0"/>
    <n v="50000"/>
    <s v="none"/>
    <x v="0"/>
    <x v="9"/>
    <s v="NY"/>
    <n v="1596"/>
    <x v="315"/>
  </r>
  <r>
    <s v="customer 317"/>
    <x v="235"/>
    <s v="5 years"/>
    <x v="0"/>
    <n v="60000"/>
    <s v="none"/>
    <x v="1"/>
    <x v="9"/>
    <s v="NY"/>
    <n v="1269"/>
    <x v="316"/>
  </r>
  <r>
    <s v="customer 318"/>
    <x v="236"/>
    <s v="5 years"/>
    <x v="0"/>
    <n v="38000"/>
    <s v="none"/>
    <x v="0"/>
    <x v="9"/>
    <s v="NY"/>
    <n v="23791"/>
    <x v="317"/>
  </r>
  <r>
    <s v="customer 319"/>
    <x v="11"/>
    <s v="5 years"/>
    <x v="0"/>
    <n v="70000"/>
    <s v="none"/>
    <x v="2"/>
    <x v="9"/>
    <s v="NY"/>
    <n v="1446"/>
    <x v="318"/>
  </r>
  <r>
    <s v="customer 320"/>
    <x v="237"/>
    <s v="5 years"/>
    <x v="0"/>
    <n v="150000"/>
    <s v="none"/>
    <x v="1"/>
    <x v="9"/>
    <s v="NY"/>
    <n v="1432"/>
    <x v="319"/>
  </r>
  <r>
    <s v="customer 321"/>
    <x v="238"/>
    <s v="5 years"/>
    <x v="0"/>
    <n v="60000"/>
    <s v="none"/>
    <x v="2"/>
    <x v="9"/>
    <s v="NY"/>
    <n v="34007"/>
    <x v="320"/>
  </r>
  <r>
    <s v="customer 322"/>
    <x v="239"/>
    <s v="5 years"/>
    <x v="1"/>
    <n v="70000"/>
    <s v="none"/>
    <x v="1"/>
    <x v="9"/>
    <s v="NY"/>
    <n v="13213"/>
    <x v="321"/>
  </r>
  <r>
    <s v="customer 323"/>
    <x v="174"/>
    <s v="5 years"/>
    <x v="0"/>
    <n v="41600"/>
    <s v="none"/>
    <x v="1"/>
    <x v="9"/>
    <s v="NY"/>
    <n v="3122"/>
    <x v="322"/>
  </r>
  <r>
    <s v="customer 324"/>
    <x v="240"/>
    <s v="5 years"/>
    <x v="1"/>
    <n v="195000"/>
    <s v="none"/>
    <x v="1"/>
    <x v="9"/>
    <s v="NY"/>
    <n v="27632"/>
    <x v="323"/>
  </r>
  <r>
    <s v="customer 325"/>
    <x v="3"/>
    <s v="5 years"/>
    <x v="2"/>
    <n v="120000"/>
    <s v="none"/>
    <x v="2"/>
    <x v="9"/>
    <s v="NY"/>
    <n v="3169"/>
    <x v="324"/>
  </r>
  <r>
    <s v="customer 326"/>
    <x v="0"/>
    <s v="none"/>
    <x v="1"/>
    <n v="191900"/>
    <s v="none"/>
    <x v="0"/>
    <x v="10"/>
    <s v="MI"/>
    <n v="33946"/>
    <x v="325"/>
  </r>
  <r>
    <s v="customer 327"/>
    <x v="241"/>
    <s v="5 years"/>
    <x v="0"/>
    <n v="80000"/>
    <s v="none"/>
    <x v="0"/>
    <x v="9"/>
    <s v="NY"/>
    <n v="3112"/>
    <x v="326"/>
  </r>
  <r>
    <s v="customer 328"/>
    <x v="39"/>
    <s v="5 years"/>
    <x v="1"/>
    <n v="79484"/>
    <s v="none"/>
    <x v="0"/>
    <x v="9"/>
    <s v="NY"/>
    <n v="15948"/>
    <x v="327"/>
  </r>
  <r>
    <s v="customer 329"/>
    <x v="242"/>
    <s v="5 years"/>
    <x v="0"/>
    <n v="30000"/>
    <s v="none"/>
    <x v="1"/>
    <x v="9"/>
    <s v="NY"/>
    <n v="3341"/>
    <x v="328"/>
  </r>
  <r>
    <s v="customer 330"/>
    <x v="243"/>
    <s v="5 years"/>
    <x v="0"/>
    <n v="105000"/>
    <s v="none"/>
    <x v="1"/>
    <x v="9"/>
    <s v="NY"/>
    <n v="9165"/>
    <x v="329"/>
  </r>
  <r>
    <s v="customer 331"/>
    <x v="244"/>
    <s v="5 years"/>
    <x v="0"/>
    <n v="30000"/>
    <s v="none"/>
    <x v="1"/>
    <x v="9"/>
    <s v="NY"/>
    <n v="1761"/>
    <x v="330"/>
  </r>
  <r>
    <s v="customer 332"/>
    <x v="245"/>
    <s v="5 years"/>
    <x v="0"/>
    <n v="46000"/>
    <s v="none"/>
    <x v="2"/>
    <x v="9"/>
    <s v="NY"/>
    <n v="1432"/>
    <x v="331"/>
  </r>
  <r>
    <s v="customer 333"/>
    <x v="191"/>
    <s v="5 years"/>
    <x v="1"/>
    <n v="81000"/>
    <s v="none"/>
    <x v="2"/>
    <x v="9"/>
    <s v="NY"/>
    <n v="4993"/>
    <x v="332"/>
  </r>
  <r>
    <s v="customer 334"/>
    <x v="246"/>
    <s v="5 years"/>
    <x v="0"/>
    <n v="60000"/>
    <s v="none"/>
    <x v="2"/>
    <x v="9"/>
    <s v="NY"/>
    <n v="5798"/>
    <x v="333"/>
  </r>
  <r>
    <s v="customer 335"/>
    <x v="247"/>
    <s v="5 years"/>
    <x v="0"/>
    <n v="155000"/>
    <s v="none"/>
    <x v="0"/>
    <x v="9"/>
    <s v="NY"/>
    <n v="22645"/>
    <x v="334"/>
  </r>
  <r>
    <s v="customer 336"/>
    <x v="3"/>
    <s v="5 years"/>
    <x v="0"/>
    <n v="55000"/>
    <s v="none"/>
    <x v="1"/>
    <x v="9"/>
    <s v="NY"/>
    <n v="3575"/>
    <x v="335"/>
  </r>
  <r>
    <s v="customer 337"/>
    <x v="0"/>
    <s v="none"/>
    <x v="0"/>
    <n v="32000"/>
    <s v="none"/>
    <x v="0"/>
    <x v="2"/>
    <s v="NJ"/>
    <n v="1057"/>
    <x v="336"/>
  </r>
  <r>
    <s v="customer 338"/>
    <x v="0"/>
    <s v="none"/>
    <x v="1"/>
    <n v="29000"/>
    <s v="none"/>
    <x v="1"/>
    <x v="10"/>
    <s v="MI"/>
    <n v="755"/>
    <x v="337"/>
  </r>
  <r>
    <s v="customer 339"/>
    <x v="248"/>
    <s v="5 years"/>
    <x v="0"/>
    <n v="66123"/>
    <s v="none"/>
    <x v="0"/>
    <x v="9"/>
    <s v="NY"/>
    <n v="15600"/>
    <x v="338"/>
  </r>
  <r>
    <s v="customer 340"/>
    <x v="249"/>
    <s v="5 years"/>
    <x v="0"/>
    <n v="200000"/>
    <s v="none"/>
    <x v="2"/>
    <x v="9"/>
    <s v="NY"/>
    <n v="6243"/>
    <x v="339"/>
  </r>
  <r>
    <s v="customer 341"/>
    <x v="170"/>
    <s v="5 years"/>
    <x v="0"/>
    <n v="22000"/>
    <s v="none"/>
    <x v="2"/>
    <x v="9"/>
    <s v="NY"/>
    <n v="15661"/>
    <x v="340"/>
  </r>
  <r>
    <s v="customer 342"/>
    <x v="250"/>
    <s v="5 years"/>
    <x v="0"/>
    <n v="22000"/>
    <s v="none"/>
    <x v="2"/>
    <x v="11"/>
    <s v="NY"/>
    <n v="4679"/>
    <x v="341"/>
  </r>
  <r>
    <s v="customer 343"/>
    <x v="33"/>
    <s v="5 years"/>
    <x v="0"/>
    <n v="65000"/>
    <s v="none"/>
    <x v="2"/>
    <x v="11"/>
    <s v="NY"/>
    <n v="3455"/>
    <x v="342"/>
  </r>
  <r>
    <s v="customer 344"/>
    <x v="251"/>
    <s v="5 years"/>
    <x v="0"/>
    <n v="52000"/>
    <s v="none"/>
    <x v="2"/>
    <x v="11"/>
    <s v="NY"/>
    <n v="3815"/>
    <x v="343"/>
  </r>
  <r>
    <s v="customer 345"/>
    <x v="252"/>
    <s v="5 years"/>
    <x v="0"/>
    <n v="85000"/>
    <s v="none"/>
    <x v="2"/>
    <x v="11"/>
    <s v="NY"/>
    <n v="13498"/>
    <x v="344"/>
  </r>
  <r>
    <s v="customer 346"/>
    <x v="253"/>
    <s v="5 years"/>
    <x v="0"/>
    <n v="42500.120999999999"/>
    <s v="none"/>
    <x v="1"/>
    <x v="11"/>
    <s v="NY"/>
    <n v="733"/>
    <x v="345"/>
  </r>
  <r>
    <s v="customer 347"/>
    <x v="254"/>
    <s v="5 years"/>
    <x v="0"/>
    <n v="66000"/>
    <s v="none"/>
    <x v="0"/>
    <x v="11"/>
    <s v="NY"/>
    <n v="3946"/>
    <x v="346"/>
  </r>
  <r>
    <s v="customer 348"/>
    <x v="255"/>
    <s v="5 years"/>
    <x v="0"/>
    <n v="36400"/>
    <s v="none"/>
    <x v="2"/>
    <x v="11"/>
    <s v="NY"/>
    <n v="2357"/>
    <x v="347"/>
  </r>
  <r>
    <s v="customer 349"/>
    <x v="0"/>
    <s v="none"/>
    <x v="2"/>
    <n v="55000"/>
    <s v="none"/>
    <x v="0"/>
    <x v="10"/>
    <s v="MI"/>
    <n v="7612"/>
    <x v="348"/>
  </r>
  <r>
    <s v="customer 350"/>
    <x v="256"/>
    <s v="5 years"/>
    <x v="0"/>
    <n v="70000"/>
    <s v="none"/>
    <x v="1"/>
    <x v="11"/>
    <s v="NY"/>
    <n v="4134"/>
    <x v="349"/>
  </r>
  <r>
    <s v="customer 351"/>
    <x v="257"/>
    <s v="5 years"/>
    <x v="0"/>
    <n v="45000"/>
    <s v="none"/>
    <x v="1"/>
    <x v="11"/>
    <s v="NY"/>
    <n v="667"/>
    <x v="350"/>
  </r>
  <r>
    <s v="customer 352"/>
    <x v="258"/>
    <s v="5 years"/>
    <x v="0"/>
    <n v="80250"/>
    <s v="none"/>
    <x v="0"/>
    <x v="11"/>
    <s v="NY"/>
    <n v="6425"/>
    <x v="351"/>
  </r>
  <r>
    <s v="customer 353"/>
    <x v="259"/>
    <s v="5 years"/>
    <x v="0"/>
    <n v="65000"/>
    <s v="none"/>
    <x v="2"/>
    <x v="11"/>
    <s v="NY"/>
    <n v="1464"/>
    <x v="352"/>
  </r>
  <r>
    <s v="customer 354"/>
    <x v="260"/>
    <s v="5 years"/>
    <x v="0"/>
    <n v="60000"/>
    <s v="none"/>
    <x v="1"/>
    <x v="11"/>
    <s v="NY"/>
    <n v="1680"/>
    <x v="353"/>
  </r>
  <r>
    <s v="customer 355"/>
    <x v="261"/>
    <s v="5 years"/>
    <x v="0"/>
    <n v="25000"/>
    <s v="none"/>
    <x v="2"/>
    <x v="11"/>
    <s v="NY"/>
    <n v="497"/>
    <x v="354"/>
  </r>
  <r>
    <s v="customer 356"/>
    <x v="262"/>
    <s v="5 years"/>
    <x v="2"/>
    <n v="46000"/>
    <s v="none"/>
    <x v="1"/>
    <x v="11"/>
    <s v="NY"/>
    <n v="2242"/>
    <x v="355"/>
  </r>
  <r>
    <s v="customer 357"/>
    <x v="263"/>
    <s v="5 years"/>
    <x v="0"/>
    <n v="55000"/>
    <s v="none"/>
    <x v="2"/>
    <x v="11"/>
    <s v="NY"/>
    <n v="1298"/>
    <x v="356"/>
  </r>
  <r>
    <s v="customer 358"/>
    <x v="264"/>
    <s v="5 years"/>
    <x v="0"/>
    <n v="55000"/>
    <s v="none"/>
    <x v="2"/>
    <x v="11"/>
    <s v="NY"/>
    <n v="3504"/>
    <x v="357"/>
  </r>
  <r>
    <s v="customer 359"/>
    <x v="135"/>
    <s v="5 years"/>
    <x v="0"/>
    <n v="65000"/>
    <s v="none"/>
    <x v="1"/>
    <x v="11"/>
    <s v="NY"/>
    <n v="1954"/>
    <x v="358"/>
  </r>
  <r>
    <s v="customer 360"/>
    <x v="0"/>
    <s v="none"/>
    <x v="0"/>
    <n v="100000"/>
    <s v="2nonenonenonenonenone"/>
    <x v="1"/>
    <x v="10"/>
    <s v="MI"/>
    <n v="1266"/>
    <x v="359"/>
  </r>
  <r>
    <s v="customer 361"/>
    <x v="265"/>
    <s v="5 years"/>
    <x v="1"/>
    <n v="75000"/>
    <s v="175nonenonenone"/>
    <x v="1"/>
    <x v="11"/>
    <s v="NY"/>
    <n v="42699"/>
    <x v="360"/>
  </r>
  <r>
    <s v="customer 362"/>
    <x v="266"/>
    <s v="5 years"/>
    <x v="2"/>
    <n v="122000"/>
    <s v="none"/>
    <x v="0"/>
    <x v="11"/>
    <s v="NY"/>
    <n v="3505"/>
    <x v="361"/>
  </r>
  <r>
    <s v="customer 363"/>
    <x v="267"/>
    <s v="5 years"/>
    <x v="0"/>
    <n v="90000"/>
    <s v="185nonenonenone"/>
    <x v="1"/>
    <x v="11"/>
    <s v="NY"/>
    <n v="3194"/>
    <x v="362"/>
  </r>
  <r>
    <s v="customer 364"/>
    <x v="268"/>
    <s v="5 years"/>
    <x v="0"/>
    <n v="109000"/>
    <s v="none"/>
    <x v="1"/>
    <x v="11"/>
    <s v="NY"/>
    <n v="2817"/>
    <x v="363"/>
  </r>
  <r>
    <s v="customer 365"/>
    <x v="269"/>
    <s v="5 years"/>
    <x v="0"/>
    <n v="140000"/>
    <s v="none"/>
    <x v="2"/>
    <x v="11"/>
    <s v="NY"/>
    <n v="371"/>
    <x v="364"/>
  </r>
  <r>
    <s v="customer 366"/>
    <x v="270"/>
    <s v="5 years"/>
    <x v="0"/>
    <n v="60000"/>
    <s v="none"/>
    <x v="2"/>
    <x v="11"/>
    <s v="NY"/>
    <n v="1708"/>
    <x v="365"/>
  </r>
  <r>
    <s v="customer 367"/>
    <x v="271"/>
    <s v="5 years"/>
    <x v="0"/>
    <n v="70000"/>
    <s v="none"/>
    <x v="1"/>
    <x v="11"/>
    <s v="NY"/>
    <n v="4725"/>
    <x v="366"/>
  </r>
  <r>
    <s v="customer 368"/>
    <x v="3"/>
    <s v="5 years"/>
    <x v="0"/>
    <n v="86000"/>
    <s v="none"/>
    <x v="1"/>
    <x v="11"/>
    <s v="NY"/>
    <n v="2415"/>
    <x v="367"/>
  </r>
  <r>
    <s v="customer 369"/>
    <x v="272"/>
    <s v="5 years"/>
    <x v="0"/>
    <n v="143000"/>
    <s v="none"/>
    <x v="2"/>
    <x v="11"/>
    <s v="NY"/>
    <n v="4149"/>
    <x v="368"/>
  </r>
  <r>
    <s v="customer 370"/>
    <x v="273"/>
    <s v="5 years"/>
    <x v="0"/>
    <n v="38400"/>
    <s v="none"/>
    <x v="1"/>
    <x v="11"/>
    <s v="NY"/>
    <n v="6866"/>
    <x v="369"/>
  </r>
  <r>
    <s v="customer 371"/>
    <x v="0"/>
    <s v="none"/>
    <x v="2"/>
    <n v="15600"/>
    <s v="none"/>
    <x v="0"/>
    <x v="10"/>
    <s v="MI"/>
    <n v="419"/>
    <x v="370"/>
  </r>
  <r>
    <s v="customer 372"/>
    <x v="274"/>
    <s v="5 years"/>
    <x v="0"/>
    <n v="42000"/>
    <s v="none"/>
    <x v="2"/>
    <x v="11"/>
    <s v="NY"/>
    <n v="997"/>
    <x v="371"/>
  </r>
  <r>
    <s v="customer 373"/>
    <x v="265"/>
    <s v="5 years"/>
    <x v="0"/>
    <n v="90000"/>
    <s v="none"/>
    <x v="1"/>
    <x v="11"/>
    <s v="NY"/>
    <n v="735"/>
    <x v="372"/>
  </r>
  <r>
    <s v="customer 374"/>
    <x v="91"/>
    <s v="5 years"/>
    <x v="1"/>
    <n v="52000"/>
    <s v="none"/>
    <x v="2"/>
    <x v="11"/>
    <s v="NY"/>
    <n v="29788"/>
    <x v="373"/>
  </r>
  <r>
    <s v="customer 375"/>
    <x v="275"/>
    <s v="5 years"/>
    <x v="0"/>
    <n v="200000"/>
    <s v="none"/>
    <x v="1"/>
    <x v="11"/>
    <s v="NY"/>
    <n v="5914"/>
    <x v="374"/>
  </r>
  <r>
    <s v="customer 376"/>
    <x v="184"/>
    <s v="5 years"/>
    <x v="2"/>
    <n v="92500"/>
    <s v="none"/>
    <x v="1"/>
    <x v="11"/>
    <s v="NY"/>
    <n v="14806"/>
    <x v="375"/>
  </r>
  <r>
    <s v="customer 377"/>
    <x v="276"/>
    <s v="5 years"/>
    <x v="2"/>
    <n v="68000"/>
    <s v="none"/>
    <x v="2"/>
    <x v="11"/>
    <s v="NY"/>
    <n v="19881"/>
    <x v="376"/>
  </r>
  <r>
    <s v="customer 378"/>
    <x v="277"/>
    <s v="5 years"/>
    <x v="0"/>
    <n v="32000"/>
    <s v="none"/>
    <x v="1"/>
    <x v="11"/>
    <s v="NY"/>
    <n v="405"/>
    <x v="377"/>
  </r>
  <r>
    <s v="customer 379"/>
    <x v="278"/>
    <s v="5 years"/>
    <x v="0"/>
    <n v="52000"/>
    <s v="none"/>
    <x v="2"/>
    <x v="11"/>
    <s v="NY"/>
    <n v="7324"/>
    <x v="378"/>
  </r>
  <r>
    <s v="customer 380"/>
    <x v="181"/>
    <s v="5 years"/>
    <x v="0"/>
    <n v="80000"/>
    <s v="none"/>
    <x v="2"/>
    <x v="11"/>
    <s v="NY"/>
    <n v="2229"/>
    <x v="379"/>
  </r>
  <r>
    <s v="customer 381"/>
    <x v="265"/>
    <s v="5 years"/>
    <x v="0"/>
    <n v="90000"/>
    <s v="none"/>
    <x v="2"/>
    <x v="11"/>
    <s v="NY"/>
    <n v="2127"/>
    <x v="380"/>
  </r>
  <r>
    <s v="customer 382"/>
    <x v="0"/>
    <s v="none"/>
    <x v="3"/>
    <n v="22000"/>
    <s v="none"/>
    <x v="1"/>
    <x v="10"/>
    <s v="MI"/>
    <n v="21303"/>
    <x v="381"/>
  </r>
  <r>
    <s v="customer 383"/>
    <x v="279"/>
    <s v="5 years"/>
    <x v="0"/>
    <n v="48000"/>
    <s v="none"/>
    <x v="2"/>
    <x v="11"/>
    <s v="NY"/>
    <n v="3073"/>
    <x v="382"/>
  </r>
  <r>
    <s v="customer 384"/>
    <x v="91"/>
    <s v="5 years"/>
    <x v="0"/>
    <n v="50000"/>
    <s v="none"/>
    <x v="1"/>
    <x v="11"/>
    <s v="NY"/>
    <n v="4805"/>
    <x v="383"/>
  </r>
  <r>
    <s v="customer 385"/>
    <x v="280"/>
    <s v="5 years"/>
    <x v="0"/>
    <n v="65000"/>
    <s v="none"/>
    <x v="1"/>
    <x v="11"/>
    <s v="NY"/>
    <n v="1403"/>
    <x v="384"/>
  </r>
  <r>
    <s v="customer 386"/>
    <x v="37"/>
    <s v="5 years"/>
    <x v="2"/>
    <n v="48000"/>
    <s v="none"/>
    <x v="2"/>
    <x v="11"/>
    <s v="NY"/>
    <n v="16164"/>
    <x v="385"/>
  </r>
  <r>
    <s v="customer 387"/>
    <x v="156"/>
    <s v="5 years"/>
    <x v="1"/>
    <n v="98000"/>
    <s v="none"/>
    <x v="2"/>
    <x v="11"/>
    <s v="NY"/>
    <n v="15154"/>
    <x v="386"/>
  </r>
  <r>
    <s v="customer 388"/>
    <x v="281"/>
    <s v="5 years"/>
    <x v="0"/>
    <n v="72000"/>
    <s v="none"/>
    <x v="0"/>
    <x v="11"/>
    <s v="NY"/>
    <n v="1051"/>
    <x v="387"/>
  </r>
  <r>
    <s v="customer 389"/>
    <x v="282"/>
    <s v="5 years"/>
    <x v="2"/>
    <n v="67173.508000000002"/>
    <s v="none"/>
    <x v="1"/>
    <x v="11"/>
    <s v="NY"/>
    <n v="12990"/>
    <x v="388"/>
  </r>
  <r>
    <s v="customer 390"/>
    <x v="27"/>
    <s v="5 years"/>
    <x v="1"/>
    <n v="70080"/>
    <s v="none"/>
    <x v="0"/>
    <x v="11"/>
    <s v="NY"/>
    <n v="27049"/>
    <x v="389"/>
  </r>
  <r>
    <s v="customer 391"/>
    <x v="283"/>
    <s v="5 years"/>
    <x v="1"/>
    <n v="125000"/>
    <s v="none"/>
    <x v="1"/>
    <x v="11"/>
    <s v="NY"/>
    <n v="9580"/>
    <x v="390"/>
  </r>
  <r>
    <s v="customer 392"/>
    <x v="137"/>
    <s v="5 years"/>
    <x v="0"/>
    <n v="39000"/>
    <s v="none"/>
    <x v="2"/>
    <x v="11"/>
    <s v="NY"/>
    <n v="2088"/>
    <x v="391"/>
  </r>
  <r>
    <s v="customer 393"/>
    <x v="0"/>
    <s v="none"/>
    <x v="0"/>
    <n v="12900"/>
    <s v="none"/>
    <x v="0"/>
    <x v="10"/>
    <s v="MI"/>
    <n v="1275"/>
    <x v="392"/>
  </r>
  <r>
    <m/>
    <x v="284"/>
    <m/>
    <x v="4"/>
    <n v="38335069.949000001"/>
    <n v="0"/>
    <x v="3"/>
    <x v="12"/>
    <m/>
    <n v="3202883"/>
    <x v="3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A5600-92BA-45FE-80B4-8C71AE4E87C6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8" firstHeaderRow="1" firstDataRow="1" firstDataCol="1"/>
  <pivotFields count="11"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dataField="1" showAll="0"/>
    <pivotField showAll="0"/>
    <pivotField showAll="0"/>
    <pivotField showAll="0"/>
    <pivotField showAll="0"/>
    <pivotField showAll="0"/>
    <pivotField multipleItemSelectionAllowed="1" showAll="0">
      <items count="394">
        <item x="280"/>
        <item x="281"/>
        <item x="286"/>
        <item x="221"/>
        <item x="141"/>
        <item x="364"/>
        <item x="278"/>
        <item x="190"/>
        <item x="353"/>
        <item x="147"/>
        <item x="296"/>
        <item x="130"/>
        <item x="251"/>
        <item x="120"/>
        <item x="136"/>
        <item x="247"/>
        <item x="377"/>
        <item x="87"/>
        <item x="356"/>
        <item x="370"/>
        <item x="216"/>
        <item x="12"/>
        <item x="227"/>
        <item x="9"/>
        <item x="306"/>
        <item x="262"/>
        <item x="270"/>
        <item x="392"/>
        <item x="77"/>
        <item x="135"/>
        <item x="146"/>
        <item x="354"/>
        <item x="18"/>
        <item x="254"/>
        <item x="345"/>
        <item x="350"/>
        <item x="92"/>
        <item x="205"/>
        <item x="260"/>
        <item x="304"/>
        <item x="30"/>
        <item x="131"/>
        <item x="169"/>
        <item x="232"/>
        <item x="29"/>
        <item x="111"/>
        <item x="158"/>
        <item x="145"/>
        <item x="235"/>
        <item x="294"/>
        <item x="358"/>
        <item x="138"/>
        <item x="313"/>
        <item x="359"/>
        <item x="160"/>
        <item x="69"/>
        <item x="171"/>
        <item x="224"/>
        <item x="372"/>
        <item x="311"/>
        <item x="387"/>
        <item x="336"/>
        <item x="337"/>
        <item x="316"/>
        <item x="167"/>
        <item x="230"/>
        <item x="123"/>
        <item x="347"/>
        <item x="365"/>
        <item x="175"/>
        <item x="371"/>
        <item x="236"/>
        <item x="162"/>
        <item x="170"/>
        <item x="64"/>
        <item x="322"/>
        <item x="233"/>
        <item x="288"/>
        <item x="211"/>
        <item x="267"/>
        <item x="274"/>
        <item x="127"/>
        <item x="142"/>
        <item x="310"/>
        <item x="196"/>
        <item x="207"/>
        <item x="140"/>
        <item x="301"/>
        <item x="248"/>
        <item x="68"/>
        <item x="38"/>
        <item x="172"/>
        <item x="113"/>
        <item x="86"/>
        <item x="150"/>
        <item x="116"/>
        <item x="240"/>
        <item x="273"/>
        <item x="285"/>
        <item x="250"/>
        <item x="34"/>
        <item x="193"/>
        <item x="253"/>
        <item x="72"/>
        <item x="163"/>
        <item x="129"/>
        <item x="108"/>
        <item x="13"/>
        <item x="70"/>
        <item x="186"/>
        <item x="81"/>
        <item x="128"/>
        <item x="319"/>
        <item x="143"/>
        <item x="85"/>
        <item x="174"/>
        <item x="164"/>
        <item x="183"/>
        <item x="89"/>
        <item x="355"/>
        <item x="219"/>
        <item x="40"/>
        <item x="305"/>
        <item x="182"/>
        <item x="76"/>
        <item x="341"/>
        <item x="318"/>
        <item x="380"/>
        <item x="56"/>
        <item x="239"/>
        <item x="384"/>
        <item x="54"/>
        <item x="106"/>
        <item x="36"/>
        <item x="328"/>
        <item x="212"/>
        <item x="32"/>
        <item x="315"/>
        <item x="26"/>
        <item x="35"/>
        <item x="148"/>
        <item x="330"/>
        <item x="41"/>
        <item x="119"/>
        <item x="132"/>
        <item x="331"/>
        <item x="263"/>
        <item x="65"/>
        <item x="279"/>
        <item x="367"/>
        <item x="326"/>
        <item x="165"/>
        <item x="201"/>
        <item x="179"/>
        <item x="391"/>
        <item x="71"/>
        <item x="109"/>
        <item x="243"/>
        <item x="155"/>
        <item x="139"/>
        <item x="107"/>
        <item x="258"/>
        <item x="7"/>
        <item x="379"/>
        <item x="238"/>
        <item x="166"/>
        <item x="349"/>
        <item x="335"/>
        <item x="95"/>
        <item x="324"/>
        <item x="144"/>
        <item x="283"/>
        <item x="362"/>
        <item x="102"/>
        <item x="276"/>
        <item x="297"/>
        <item x="307"/>
        <item x="287"/>
        <item x="228"/>
        <item x="67"/>
        <item x="302"/>
        <item x="225"/>
        <item x="352"/>
        <item x="93"/>
        <item x="269"/>
        <item x="22"/>
        <item x="25"/>
        <item x="168"/>
        <item x="19"/>
        <item x="261"/>
        <item x="55"/>
        <item x="312"/>
        <item x="292"/>
        <item x="159"/>
        <item x="51"/>
        <item x="156"/>
        <item x="118"/>
        <item x="223"/>
        <item x="8"/>
        <item x="94"/>
        <item x="44"/>
        <item x="226"/>
        <item x="244"/>
        <item x="5"/>
        <item x="197"/>
        <item x="275"/>
        <item x="91"/>
        <item x="151"/>
        <item x="382"/>
        <item x="363"/>
        <item x="149"/>
        <item x="0"/>
        <item x="343"/>
        <item x="333"/>
        <item x="361"/>
        <item x="231"/>
        <item x="229"/>
        <item x="134"/>
        <item x="20"/>
        <item x="80"/>
        <item x="137"/>
        <item x="14"/>
        <item x="189"/>
        <item x="101"/>
        <item x="383"/>
        <item x="272"/>
        <item x="63"/>
        <item x="321"/>
        <item x="47"/>
        <item x="28"/>
        <item x="11"/>
        <item x="185"/>
        <item x="23"/>
        <item x="237"/>
        <item x="234"/>
        <item x="218"/>
        <item x="209"/>
        <item x="117"/>
        <item x="194"/>
        <item x="105"/>
        <item x="110"/>
        <item x="308"/>
        <item x="378"/>
        <item x="157"/>
        <item x="213"/>
        <item x="181"/>
        <item x="277"/>
        <item x="268"/>
        <item x="98"/>
        <item x="256"/>
        <item x="368"/>
        <item x="246"/>
        <item x="222"/>
        <item x="369"/>
        <item x="104"/>
        <item x="115"/>
        <item x="52"/>
        <item x="332"/>
        <item x="300"/>
        <item x="257"/>
        <item x="346"/>
        <item x="366"/>
        <item x="291"/>
        <item x="125"/>
        <item x="217"/>
        <item x="210"/>
        <item x="133"/>
        <item x="200"/>
        <item x="271"/>
        <item x="357"/>
        <item x="339"/>
        <item x="161"/>
        <item x="180"/>
        <item x="282"/>
        <item x="342"/>
        <item x="152"/>
        <item x="124"/>
        <item x="176"/>
        <item x="284"/>
        <item x="122"/>
        <item x="17"/>
        <item x="299"/>
        <item x="351"/>
        <item x="289"/>
        <item x="37"/>
        <item x="245"/>
        <item x="220"/>
        <item x="79"/>
        <item x="188"/>
        <item x="16"/>
        <item x="265"/>
        <item x="255"/>
        <item x="295"/>
        <item x="42"/>
        <item x="203"/>
        <item x="215"/>
        <item x="192"/>
        <item x="242"/>
        <item x="338"/>
        <item x="340"/>
        <item x="82"/>
        <item x="10"/>
        <item x="385"/>
        <item x="97"/>
        <item x="184"/>
        <item x="48"/>
        <item x="59"/>
        <item x="202"/>
        <item x="199"/>
        <item x="24"/>
        <item x="298"/>
        <item x="334"/>
        <item x="348"/>
        <item x="374"/>
        <item x="329"/>
        <item x="173"/>
        <item x="204"/>
        <item x="198"/>
        <item x="31"/>
        <item x="303"/>
        <item x="344"/>
        <item x="266"/>
        <item x="15"/>
        <item x="317"/>
        <item x="61"/>
        <item x="177"/>
        <item x="1"/>
        <item x="83"/>
        <item x="290"/>
        <item x="178"/>
        <item x="375"/>
        <item x="126"/>
        <item x="325"/>
        <item x="208"/>
        <item x="381"/>
        <item x="78"/>
        <item x="46"/>
        <item x="121"/>
        <item x="373"/>
        <item x="376"/>
        <item x="389"/>
        <item x="293"/>
        <item x="4"/>
        <item x="386"/>
        <item x="154"/>
        <item x="214"/>
        <item x="53"/>
        <item x="27"/>
        <item x="241"/>
        <item x="100"/>
        <item x="112"/>
        <item x="45"/>
        <item x="43"/>
        <item x="103"/>
        <item x="206"/>
        <item x="388"/>
        <item x="114"/>
        <item x="39"/>
        <item x="320"/>
        <item x="2"/>
        <item x="249"/>
        <item x="60"/>
        <item x="75"/>
        <item x="50"/>
        <item x="314"/>
        <item x="259"/>
        <item x="327"/>
        <item x="33"/>
        <item x="96"/>
        <item x="88"/>
        <item x="73"/>
        <item x="58"/>
        <item x="84"/>
        <item x="3"/>
        <item x="66"/>
        <item x="21"/>
        <item x="390"/>
        <item x="62"/>
        <item x="49"/>
        <item x="6"/>
        <item x="153"/>
        <item x="309"/>
        <item x="323"/>
        <item x="187"/>
        <item x="57"/>
        <item x="360"/>
        <item x="74"/>
        <item x="195"/>
        <item x="90"/>
        <item x="252"/>
        <item x="264"/>
        <item x="99"/>
        <item x="191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annual_inc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328EE9-D6A1-4564-A98F-EB239F495583}" name="PivotTable4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4:B25" firstHeaderRow="1" firstDataRow="1" firstDataCol="1" rowPageCount="1" colPageCount="1"/>
  <pivotFields count="11">
    <pivotField showAll="0"/>
    <pivotField showAll="0"/>
    <pivotField showAll="0"/>
    <pivotField dataField="1"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axis="axisRow" showAll="0">
      <items count="14">
        <item x="0"/>
        <item x="1"/>
        <item x="2"/>
        <item x="4"/>
        <item x="5"/>
        <item x="6"/>
        <item x="7"/>
        <item x="8"/>
        <item x="9"/>
        <item x="11"/>
        <item x="3"/>
        <item x="10"/>
        <item x="12"/>
        <item t="default"/>
      </items>
    </pivotField>
    <pivotField showAll="0"/>
    <pivotField showAll="0"/>
    <pivotField showAll="0"/>
  </pivotFields>
  <rowFields count="1">
    <field x="7"/>
  </rowFields>
  <rowItems count="11">
    <i>
      <x/>
    </i>
    <i>
      <x v="2"/>
    </i>
    <i>
      <x v="3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pageFields count="1">
    <pageField fld="6" item="2" hier="-1"/>
  </pageFields>
  <dataFields count="1">
    <dataField name="Count of home_ownership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BEB0EC-1B93-46CD-AF9B-F4264EF3619B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H11:I297" firstHeaderRow="1" firstDataRow="1" firstDataCol="1" rowPageCount="1" colPageCount="1"/>
  <pivotFields count="11">
    <pivotField showAll="0"/>
    <pivotField axis="axisRow" showAll="0">
      <items count="286">
        <item x="42"/>
        <item x="169"/>
        <item x="238"/>
        <item x="85"/>
        <item x="253"/>
        <item x="133"/>
        <item x="176"/>
        <item x="245"/>
        <item x="193"/>
        <item x="35"/>
        <item x="108"/>
        <item x="229"/>
        <item x="47"/>
        <item x="272"/>
        <item x="97"/>
        <item x="216"/>
        <item x="94"/>
        <item x="145"/>
        <item x="61"/>
        <item x="181"/>
        <item x="184"/>
        <item x="124"/>
        <item x="182"/>
        <item x="150"/>
        <item x="280"/>
        <item x="276"/>
        <item x="179"/>
        <item x="56"/>
        <item x="103"/>
        <item x="271"/>
        <item x="109"/>
        <item x="172"/>
        <item x="185"/>
        <item x="1"/>
        <item x="36"/>
        <item x="191"/>
        <item x="248"/>
        <item x="164"/>
        <item x="126"/>
        <item x="102"/>
        <item x="95"/>
        <item x="20"/>
        <item x="89"/>
        <item x="135"/>
        <item x="44"/>
        <item x="208"/>
        <item x="121"/>
        <item x="222"/>
        <item x="261"/>
        <item x="247"/>
        <item x="45"/>
        <item x="144"/>
        <item x="206"/>
        <item x="246"/>
        <item x="125"/>
        <item x="259"/>
        <item x="155"/>
        <item x="175"/>
        <item x="235"/>
        <item x="41"/>
        <item x="183"/>
        <item x="220"/>
        <item x="14"/>
        <item x="237"/>
        <item x="15"/>
        <item x="244"/>
        <item x="143"/>
        <item x="158"/>
        <item x="226"/>
        <item x="214"/>
        <item x="46"/>
        <item x="21"/>
        <item x="263"/>
        <item x="257"/>
        <item x="129"/>
        <item x="74"/>
        <item x="30"/>
        <item x="123"/>
        <item x="190"/>
        <item x="6"/>
        <item x="24"/>
        <item x="224"/>
        <item x="212"/>
        <item x="18"/>
        <item x="76"/>
        <item x="60"/>
        <item x="91"/>
        <item x="151"/>
        <item x="3"/>
        <item x="252"/>
        <item x="78"/>
        <item x="8"/>
        <item x="132"/>
        <item x="117"/>
        <item x="80"/>
        <item x="195"/>
        <item x="281"/>
        <item x="96"/>
        <item x="137"/>
        <item x="62"/>
        <item x="107"/>
        <item x="154"/>
        <item x="269"/>
        <item x="120"/>
        <item x="75"/>
        <item x="5"/>
        <item x="207"/>
        <item x="153"/>
        <item x="73"/>
        <item x="180"/>
        <item x="213"/>
        <item x="27"/>
        <item x="254"/>
        <item x="148"/>
        <item x="110"/>
        <item x="278"/>
        <item x="255"/>
        <item x="170"/>
        <item x="174"/>
        <item x="69"/>
        <item x="112"/>
        <item x="260"/>
        <item x="178"/>
        <item x="273"/>
        <item x="4"/>
        <item x="194"/>
        <item x="31"/>
        <item x="230"/>
        <item x="196"/>
        <item x="251"/>
        <item x="199"/>
        <item x="104"/>
        <item x="55"/>
        <item x="72"/>
        <item x="100"/>
        <item x="7"/>
        <item x="92"/>
        <item x="52"/>
        <item x="277"/>
        <item x="26"/>
        <item x="171"/>
        <item x="162"/>
        <item x="101"/>
        <item x="83"/>
        <item x="217"/>
        <item x="122"/>
        <item x="25"/>
        <item x="210"/>
        <item x="28"/>
        <item x="256"/>
        <item x="19"/>
        <item x="114"/>
        <item x="59"/>
        <item x="33"/>
        <item x="23"/>
        <item x="13"/>
        <item x="249"/>
        <item x="53"/>
        <item x="188"/>
        <item x="43"/>
        <item x="211"/>
        <item x="99"/>
        <item x="128"/>
        <item x="279"/>
        <item x="84"/>
        <item x="157"/>
        <item x="48"/>
        <item x="82"/>
        <item x="0"/>
        <item x="38"/>
        <item x="139"/>
        <item x="11"/>
        <item x="50"/>
        <item x="219"/>
        <item x="29"/>
        <item x="186"/>
        <item x="200"/>
        <item x="9"/>
        <item x="113"/>
        <item x="202"/>
        <item x="118"/>
        <item x="51"/>
        <item x="111"/>
        <item x="146"/>
        <item x="283"/>
        <item x="156"/>
        <item x="67"/>
        <item x="130"/>
        <item x="54"/>
        <item x="189"/>
        <item x="70"/>
        <item x="12"/>
        <item x="68"/>
        <item x="192"/>
        <item x="239"/>
        <item x="64"/>
        <item x="262"/>
        <item x="267"/>
        <item x="88"/>
        <item x="243"/>
        <item x="34"/>
        <item x="223"/>
        <item x="266"/>
        <item x="79"/>
        <item x="2"/>
        <item x="197"/>
        <item x="22"/>
        <item x="218"/>
        <item x="265"/>
        <item x="65"/>
        <item x="161"/>
        <item x="264"/>
        <item x="98"/>
        <item x="201"/>
        <item x="270"/>
        <item x="142"/>
        <item x="177"/>
        <item x="40"/>
        <item x="66"/>
        <item x="134"/>
        <item x="16"/>
        <item x="81"/>
        <item x="209"/>
        <item x="160"/>
        <item x="141"/>
        <item x="233"/>
        <item x="49"/>
        <item x="37"/>
        <item x="173"/>
        <item x="119"/>
        <item x="187"/>
        <item x="63"/>
        <item x="274"/>
        <item x="57"/>
        <item x="163"/>
        <item x="268"/>
        <item x="165"/>
        <item x="127"/>
        <item x="225"/>
        <item x="234"/>
        <item x="231"/>
        <item x="71"/>
        <item x="87"/>
        <item x="140"/>
        <item x="152"/>
        <item x="90"/>
        <item x="228"/>
        <item x="131"/>
        <item x="159"/>
        <item x="105"/>
        <item x="203"/>
        <item x="241"/>
        <item x="17"/>
        <item x="168"/>
        <item x="166"/>
        <item x="116"/>
        <item x="227"/>
        <item x="10"/>
        <item x="93"/>
        <item x="77"/>
        <item x="240"/>
        <item x="258"/>
        <item x="147"/>
        <item x="232"/>
        <item x="39"/>
        <item x="167"/>
        <item x="115"/>
        <item x="236"/>
        <item x="86"/>
        <item x="138"/>
        <item x="250"/>
        <item x="198"/>
        <item x="136"/>
        <item x="221"/>
        <item x="282"/>
        <item x="106"/>
        <item x="149"/>
        <item x="58"/>
        <item x="205"/>
        <item x="275"/>
        <item x="32"/>
        <item x="215"/>
        <item x="204"/>
        <item x="242"/>
        <item x="284"/>
        <item t="default"/>
      </items>
    </pivotField>
    <pivotField showAll="0"/>
    <pivotField showAll="0"/>
    <pivotField showAll="0"/>
    <pivotField showAll="0"/>
    <pivotField axis="axisPage" showAll="0">
      <items count="5">
        <item x="1"/>
        <item x="2"/>
        <item x="0"/>
        <item x="3"/>
        <item t="default"/>
      </items>
    </pivotField>
    <pivotField showAll="0"/>
    <pivotField showAll="0"/>
    <pivotField showAll="0"/>
    <pivotField dataField="1" showAll="0"/>
  </pivotFields>
  <rowFields count="1">
    <field x="1"/>
  </rowFields>
  <rowItems count="28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 t="grand">
      <x/>
    </i>
  </rowItems>
  <colItems count="1">
    <i/>
  </colItems>
  <pageFields count="1">
    <pageField fld="6" hier="-1"/>
  </pageFields>
  <dataFields count="1">
    <dataField name="Sum of Tot_cur_bal" fld="10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57A7A8-6D2C-4CF7-952A-0B876954193D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4:F8" firstHeaderRow="1" firstDataRow="1" firstDataCol="1" rowPageCount="1" colPageCount="1"/>
  <pivotFields count="11">
    <pivotField showAll="0"/>
    <pivotField showAll="0"/>
    <pivotField showAll="0"/>
    <pivotField axis="axisPage" showAll="0">
      <items count="6">
        <item x="3"/>
        <item x="1"/>
        <item x="2"/>
        <item x="0"/>
        <item x="4"/>
        <item t="default"/>
      </items>
    </pivotField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dataField="1" showAll="0"/>
    <pivotField showAll="0"/>
    <pivotField showAll="0"/>
  </pivotFields>
  <rowFields count="1">
    <field x="6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3" item="1" hier="-1"/>
  </pageFields>
  <dataFields count="1">
    <dataField name="Count of addr_state" fld="8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71C4-FF3C-4B99-8491-974F447FF532}">
  <dimension ref="A1:V395"/>
  <sheetViews>
    <sheetView tabSelected="1" topLeftCell="B15" zoomScale="72" workbookViewId="0">
      <selection activeCell="Q42" sqref="Q42"/>
    </sheetView>
  </sheetViews>
  <sheetFormatPr defaultRowHeight="14.4" x14ac:dyDescent="0.3"/>
  <cols>
    <col min="1" max="1" width="12.33203125" bestFit="1" customWidth="1"/>
    <col min="2" max="2" width="33.88671875" bestFit="1" customWidth="1"/>
    <col min="3" max="3" width="10.44140625" bestFit="1" customWidth="1"/>
    <col min="4" max="4" width="15.21875" bestFit="1" customWidth="1"/>
    <col min="5" max="5" width="12.88671875" bestFit="1" customWidth="1"/>
    <col min="6" max="6" width="16" style="5" bestFit="1" customWidth="1"/>
    <col min="7" max="7" width="8.109375" style="12" bestFit="1" customWidth="1"/>
    <col min="8" max="8" width="9.5546875" style="12" bestFit="1" customWidth="1"/>
    <col min="9" max="10" width="10.33203125" bestFit="1" customWidth="1"/>
    <col min="12" max="12" width="12.33203125" bestFit="1" customWidth="1"/>
    <col min="13" max="13" width="25.88671875" bestFit="1" customWidth="1"/>
    <col min="14" max="14" width="10.44140625" bestFit="1" customWidth="1"/>
    <col min="15" max="15" width="15.21875" bestFit="1" customWidth="1"/>
    <col min="16" max="16" width="9.88671875" bestFit="1" customWidth="1"/>
    <col min="17" max="17" width="14.44140625" bestFit="1" customWidth="1"/>
    <col min="18" max="18" width="16" bestFit="1" customWidth="1"/>
    <col min="19" max="19" width="8.109375" bestFit="1" customWidth="1"/>
    <col min="20" max="20" width="9.5546875" bestFit="1" customWidth="1"/>
    <col min="21" max="22" width="10.33203125" bestFit="1" customWidth="1"/>
    <col min="23" max="23" width="9" bestFit="1" customWidth="1"/>
  </cols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0" t="s">
        <v>7</v>
      </c>
      <c r="H1" s="10" t="s">
        <v>8</v>
      </c>
      <c r="I1" s="1" t="s">
        <v>9</v>
      </c>
      <c r="J1" s="1" t="s">
        <v>10</v>
      </c>
    </row>
    <row r="2" spans="1:18" x14ac:dyDescent="0.3">
      <c r="A2" s="2" t="s">
        <v>11</v>
      </c>
      <c r="B2" s="2" t="s">
        <v>12</v>
      </c>
      <c r="C2" s="2" t="s">
        <v>13</v>
      </c>
      <c r="D2" s="2" t="s">
        <v>14</v>
      </c>
      <c r="E2" s="2">
        <v>25000</v>
      </c>
      <c r="F2" s="4" t="s">
        <v>15</v>
      </c>
      <c r="G2" s="11" t="s">
        <v>16</v>
      </c>
      <c r="H2" s="11" t="s">
        <v>17</v>
      </c>
      <c r="I2" s="2">
        <v>6864</v>
      </c>
      <c r="J2" s="2">
        <v>34322</v>
      </c>
    </row>
    <row r="3" spans="1:18" x14ac:dyDescent="0.3">
      <c r="A3" s="2" t="s">
        <v>18</v>
      </c>
      <c r="B3" s="2" t="s">
        <v>12</v>
      </c>
      <c r="C3" s="2" t="s">
        <v>13</v>
      </c>
      <c r="D3" s="2" t="s">
        <v>19</v>
      </c>
      <c r="E3" s="2">
        <v>185000</v>
      </c>
      <c r="F3" s="4" t="s">
        <v>20</v>
      </c>
      <c r="G3" s="11" t="s">
        <v>16</v>
      </c>
      <c r="H3" s="11" t="s">
        <v>17</v>
      </c>
      <c r="I3" s="2">
        <v>7930</v>
      </c>
      <c r="J3" s="2">
        <v>150674</v>
      </c>
      <c r="M3" s="3" t="s">
        <v>729</v>
      </c>
    </row>
    <row r="4" spans="1:18" x14ac:dyDescent="0.3">
      <c r="A4" s="2" t="s">
        <v>21</v>
      </c>
      <c r="B4" s="2" t="s">
        <v>12</v>
      </c>
      <c r="C4" s="2" t="s">
        <v>13</v>
      </c>
      <c r="D4" s="2" t="s">
        <v>19</v>
      </c>
      <c r="E4" s="2">
        <v>120000</v>
      </c>
      <c r="F4" s="4" t="s">
        <v>22</v>
      </c>
      <c r="G4" s="11" t="s">
        <v>23</v>
      </c>
      <c r="H4" s="11" t="s">
        <v>17</v>
      </c>
      <c r="I4" s="2">
        <v>15652</v>
      </c>
      <c r="J4" s="2">
        <v>281735</v>
      </c>
      <c r="M4" s="17">
        <f>SUM(E2:E395)</f>
        <v>76670139.898000002</v>
      </c>
    </row>
    <row r="5" spans="1:18" x14ac:dyDescent="0.3">
      <c r="A5" s="2" t="s">
        <v>24</v>
      </c>
      <c r="B5" s="2" t="s">
        <v>12</v>
      </c>
      <c r="C5" s="2" t="s">
        <v>13</v>
      </c>
      <c r="D5" s="2" t="s">
        <v>19</v>
      </c>
      <c r="E5" s="2">
        <v>75000</v>
      </c>
      <c r="F5" s="4" t="s">
        <v>15</v>
      </c>
      <c r="G5" s="11" t="s">
        <v>25</v>
      </c>
      <c r="H5" s="11" t="s">
        <v>26</v>
      </c>
      <c r="I5" s="2">
        <v>14042</v>
      </c>
      <c r="J5" s="2">
        <v>379132</v>
      </c>
    </row>
    <row r="6" spans="1:18" x14ac:dyDescent="0.3">
      <c r="A6" s="2" t="s">
        <v>27</v>
      </c>
      <c r="B6" s="2" t="s">
        <v>12</v>
      </c>
      <c r="C6" s="2" t="s">
        <v>13</v>
      </c>
      <c r="D6" s="2" t="s">
        <v>19</v>
      </c>
      <c r="E6" s="2">
        <v>36000</v>
      </c>
      <c r="F6" s="4" t="s">
        <v>22</v>
      </c>
      <c r="G6" s="11" t="s">
        <v>28</v>
      </c>
      <c r="H6" s="11" t="s">
        <v>29</v>
      </c>
      <c r="I6" s="2">
        <v>21477</v>
      </c>
      <c r="J6" s="2">
        <v>193292</v>
      </c>
      <c r="M6" s="6" t="s">
        <v>714</v>
      </c>
      <c r="N6" s="6" t="s">
        <v>5</v>
      </c>
      <c r="O6" s="7" t="s">
        <v>715</v>
      </c>
      <c r="P6" s="7" t="s">
        <v>716</v>
      </c>
      <c r="R6">
        <f>COUNTIF(D1:D394,Q11)</f>
        <v>1</v>
      </c>
    </row>
    <row r="7" spans="1:18" x14ac:dyDescent="0.3">
      <c r="A7" s="2" t="s">
        <v>30</v>
      </c>
      <c r="B7" s="2" t="s">
        <v>31</v>
      </c>
      <c r="C7" s="2" t="s">
        <v>32</v>
      </c>
      <c r="D7" s="2" t="s">
        <v>33</v>
      </c>
      <c r="E7" s="2">
        <v>125000</v>
      </c>
      <c r="F7" s="4" t="s">
        <v>15</v>
      </c>
      <c r="G7" s="11" t="s">
        <v>34</v>
      </c>
      <c r="H7" s="11" t="s">
        <v>35</v>
      </c>
      <c r="I7" s="2">
        <v>3531</v>
      </c>
      <c r="J7" s="2">
        <v>31779</v>
      </c>
      <c r="M7" s="8">
        <f>SUM(E1:E394)</f>
        <v>38335069.949000001</v>
      </c>
      <c r="N7" s="8" t="e">
        <f>SUM(#REF!)</f>
        <v>#REF!</v>
      </c>
      <c r="O7" s="8">
        <f>SUM(I1:I394)</f>
        <v>3202883</v>
      </c>
      <c r="P7" s="8">
        <f>SUM(I1:I394)</f>
        <v>3202883</v>
      </c>
    </row>
    <row r="8" spans="1:18" x14ac:dyDescent="0.3">
      <c r="A8" s="2" t="s">
        <v>36</v>
      </c>
      <c r="B8" s="2" t="s">
        <v>37</v>
      </c>
      <c r="C8" s="2" t="s">
        <v>32</v>
      </c>
      <c r="D8" s="2" t="s">
        <v>19</v>
      </c>
      <c r="E8" s="2">
        <v>84000</v>
      </c>
      <c r="F8" s="4" t="s">
        <v>15</v>
      </c>
      <c r="G8" s="11" t="s">
        <v>34</v>
      </c>
      <c r="H8" s="11" t="s">
        <v>35</v>
      </c>
      <c r="I8" s="2">
        <v>40809</v>
      </c>
      <c r="J8" s="2">
        <v>408091</v>
      </c>
    </row>
    <row r="9" spans="1:18" x14ac:dyDescent="0.3">
      <c r="A9" s="2" t="s">
        <v>38</v>
      </c>
      <c r="B9" s="2" t="s">
        <v>39</v>
      </c>
      <c r="C9" s="2" t="s">
        <v>32</v>
      </c>
      <c r="D9" s="2" t="s">
        <v>14</v>
      </c>
      <c r="E9" s="2">
        <v>27000</v>
      </c>
      <c r="F9" s="4" t="s">
        <v>15</v>
      </c>
      <c r="G9" s="11" t="s">
        <v>34</v>
      </c>
      <c r="H9" s="11" t="s">
        <v>35</v>
      </c>
      <c r="I9" s="2">
        <v>2445</v>
      </c>
      <c r="J9" s="2">
        <v>24448</v>
      </c>
    </row>
    <row r="10" spans="1:18" x14ac:dyDescent="0.3">
      <c r="A10" s="2" t="s">
        <v>40</v>
      </c>
      <c r="B10" s="2" t="s">
        <v>41</v>
      </c>
      <c r="C10" s="2" t="s">
        <v>32</v>
      </c>
      <c r="D10" s="2" t="s">
        <v>14</v>
      </c>
      <c r="E10" s="2">
        <v>52500</v>
      </c>
      <c r="F10" s="4" t="s">
        <v>15</v>
      </c>
      <c r="G10" s="11" t="s">
        <v>34</v>
      </c>
      <c r="H10" s="11" t="s">
        <v>35</v>
      </c>
      <c r="I10" s="2">
        <v>2541</v>
      </c>
      <c r="J10" s="2">
        <v>30491</v>
      </c>
      <c r="N10" s="21" t="s">
        <v>728</v>
      </c>
      <c r="O10" s="21"/>
      <c r="P10" s="21"/>
      <c r="Q10" s="21"/>
    </row>
    <row r="11" spans="1:18" x14ac:dyDescent="0.3">
      <c r="A11" s="2" t="s">
        <v>42</v>
      </c>
      <c r="B11" s="2" t="s">
        <v>43</v>
      </c>
      <c r="C11" s="2" t="s">
        <v>32</v>
      </c>
      <c r="D11" s="2" t="s">
        <v>14</v>
      </c>
      <c r="E11" s="2">
        <v>65000</v>
      </c>
      <c r="F11" s="4" t="s">
        <v>20</v>
      </c>
      <c r="G11" s="11" t="s">
        <v>34</v>
      </c>
      <c r="H11" s="11" t="s">
        <v>35</v>
      </c>
      <c r="I11" s="2">
        <v>1976</v>
      </c>
      <c r="J11" s="2">
        <v>5927</v>
      </c>
      <c r="N11" s="16" t="s">
        <v>14</v>
      </c>
      <c r="O11" s="16" t="s">
        <v>19</v>
      </c>
      <c r="P11" s="16" t="s">
        <v>33</v>
      </c>
      <c r="Q11" s="16" t="s">
        <v>697</v>
      </c>
    </row>
    <row r="12" spans="1:18" x14ac:dyDescent="0.3">
      <c r="A12" s="2" t="s">
        <v>44</v>
      </c>
      <c r="B12" s="2" t="s">
        <v>45</v>
      </c>
      <c r="C12" s="2" t="s">
        <v>32</v>
      </c>
      <c r="D12" s="2" t="s">
        <v>33</v>
      </c>
      <c r="E12" s="2">
        <v>42000</v>
      </c>
      <c r="F12" s="4" t="s">
        <v>15</v>
      </c>
      <c r="G12" s="11" t="s">
        <v>34</v>
      </c>
      <c r="H12" s="11" t="s">
        <v>35</v>
      </c>
      <c r="I12" s="2">
        <v>5057</v>
      </c>
      <c r="J12" s="2">
        <v>96087</v>
      </c>
      <c r="N12" s="17"/>
      <c r="O12" s="17"/>
      <c r="P12" s="17"/>
      <c r="Q12" s="17"/>
    </row>
    <row r="13" spans="1:18" x14ac:dyDescent="0.3">
      <c r="A13" s="2" t="s">
        <v>46</v>
      </c>
      <c r="B13" s="2" t="s">
        <v>47</v>
      </c>
      <c r="C13" s="2" t="s">
        <v>32</v>
      </c>
      <c r="D13" s="2" t="s">
        <v>14</v>
      </c>
      <c r="E13" s="2">
        <v>78000</v>
      </c>
      <c r="F13" s="4" t="s">
        <v>20</v>
      </c>
      <c r="G13" s="11" t="s">
        <v>34</v>
      </c>
      <c r="H13" s="11" t="s">
        <v>35</v>
      </c>
      <c r="I13" s="2">
        <v>2368</v>
      </c>
      <c r="J13" s="2">
        <v>40264</v>
      </c>
      <c r="N13" s="17" cm="1">
        <f t="array" ref="N13:Q13">COUNTIFS(D2:D394,N11:Q11)</f>
        <v>279</v>
      </c>
      <c r="O13" s="17">
        <v>65</v>
      </c>
      <c r="P13" s="17">
        <v>48</v>
      </c>
      <c r="Q13" s="17">
        <v>1</v>
      </c>
    </row>
    <row r="14" spans="1:18" x14ac:dyDescent="0.3">
      <c r="A14" s="2" t="s">
        <v>48</v>
      </c>
      <c r="B14" s="2" t="s">
        <v>49</v>
      </c>
      <c r="C14" s="2" t="s">
        <v>32</v>
      </c>
      <c r="D14" s="2" t="s">
        <v>19</v>
      </c>
      <c r="E14" s="2">
        <v>72000</v>
      </c>
      <c r="F14" s="4" t="s">
        <v>20</v>
      </c>
      <c r="G14" s="11" t="s">
        <v>34</v>
      </c>
      <c r="H14" s="11" t="s">
        <v>35</v>
      </c>
      <c r="I14" s="2">
        <v>635</v>
      </c>
      <c r="J14" s="2">
        <v>5714</v>
      </c>
    </row>
    <row r="15" spans="1:18" x14ac:dyDescent="0.3">
      <c r="A15" s="2" t="s">
        <v>50</v>
      </c>
      <c r="B15" s="2" t="s">
        <v>51</v>
      </c>
      <c r="C15" s="2" t="s">
        <v>32</v>
      </c>
      <c r="D15" s="2" t="s">
        <v>14</v>
      </c>
      <c r="E15" s="2">
        <v>28000</v>
      </c>
      <c r="F15" s="4" t="s">
        <v>20</v>
      </c>
      <c r="G15" s="11" t="s">
        <v>34</v>
      </c>
      <c r="H15" s="11" t="s">
        <v>35</v>
      </c>
      <c r="I15" s="2">
        <v>1388</v>
      </c>
      <c r="J15" s="2">
        <v>16656</v>
      </c>
    </row>
    <row r="16" spans="1:18" x14ac:dyDescent="0.3">
      <c r="A16" s="2" t="s">
        <v>52</v>
      </c>
      <c r="B16" s="2" t="s">
        <v>53</v>
      </c>
      <c r="C16" s="2" t="s">
        <v>32</v>
      </c>
      <c r="D16" s="2" t="s">
        <v>14</v>
      </c>
      <c r="E16" s="2">
        <v>62000</v>
      </c>
      <c r="F16" s="4" t="s">
        <v>22</v>
      </c>
      <c r="G16" s="11" t="s">
        <v>34</v>
      </c>
      <c r="H16" s="11" t="s">
        <v>35</v>
      </c>
      <c r="I16" s="2">
        <v>2890</v>
      </c>
      <c r="J16" s="2">
        <v>37575</v>
      </c>
    </row>
    <row r="17" spans="1:22" x14ac:dyDescent="0.3">
      <c r="A17" s="2" t="s">
        <v>54</v>
      </c>
      <c r="B17" s="2" t="s">
        <v>12</v>
      </c>
      <c r="C17" s="2" t="s">
        <v>13</v>
      </c>
      <c r="D17" s="2" t="s">
        <v>19</v>
      </c>
      <c r="E17" s="2">
        <v>43200</v>
      </c>
      <c r="F17" s="4" t="s">
        <v>15</v>
      </c>
      <c r="G17" s="11" t="s">
        <v>28</v>
      </c>
      <c r="H17" s="11" t="s">
        <v>29</v>
      </c>
      <c r="I17" s="2">
        <v>23727</v>
      </c>
      <c r="J17" s="2">
        <v>142362</v>
      </c>
      <c r="L17" s="9" t="s">
        <v>717</v>
      </c>
      <c r="M17" s="9" t="s">
        <v>718</v>
      </c>
      <c r="N17" s="9" t="s">
        <v>2</v>
      </c>
      <c r="O17" s="9" t="s">
        <v>3</v>
      </c>
      <c r="P17" s="9" t="s">
        <v>4</v>
      </c>
      <c r="Q17" s="9" t="s">
        <v>5</v>
      </c>
      <c r="R17" s="9" t="s">
        <v>6</v>
      </c>
      <c r="S17" s="9" t="s">
        <v>7</v>
      </c>
      <c r="T17" s="9" t="s">
        <v>8</v>
      </c>
      <c r="U17" s="9" t="s">
        <v>9</v>
      </c>
      <c r="V17" s="9" t="s">
        <v>719</v>
      </c>
    </row>
    <row r="18" spans="1:22" x14ac:dyDescent="0.3">
      <c r="A18" s="2" t="s">
        <v>55</v>
      </c>
      <c r="B18" s="2" t="s">
        <v>56</v>
      </c>
      <c r="C18" s="2" t="s">
        <v>32</v>
      </c>
      <c r="D18" s="2" t="s">
        <v>14</v>
      </c>
      <c r="E18" s="2">
        <v>60000</v>
      </c>
      <c r="F18" s="4" t="s">
        <v>20</v>
      </c>
      <c r="G18" s="11" t="s">
        <v>34</v>
      </c>
      <c r="H18" s="11" t="s">
        <v>35</v>
      </c>
      <c r="I18" s="2">
        <v>5474</v>
      </c>
      <c r="J18" s="2">
        <v>76641</v>
      </c>
      <c r="L18" s="2" t="s">
        <v>128</v>
      </c>
      <c r="M18" s="2" t="str" cm="1">
        <f t="array" ref="M18:U18">_xlfn.XLOOKUP(L18,A2:A394,B2:J394,"not found",0)</f>
        <v>Mechanical</v>
      </c>
      <c r="N18" s="2" t="str">
        <v>5 years</v>
      </c>
      <c r="O18" s="2" t="str">
        <v>Rent</v>
      </c>
      <c r="P18" s="2">
        <v>49000</v>
      </c>
      <c r="Q18" s="2" t="str">
        <v>Source Verified</v>
      </c>
      <c r="R18" s="2" t="str">
        <v>109xx</v>
      </c>
      <c r="S18" s="2" t="str">
        <v>NY</v>
      </c>
      <c r="T18" s="2">
        <v>2192</v>
      </c>
      <c r="U18" s="2">
        <v>19731</v>
      </c>
      <c r="V18" s="2"/>
    </row>
    <row r="19" spans="1:22" x14ac:dyDescent="0.3">
      <c r="A19" s="2" t="s">
        <v>57</v>
      </c>
      <c r="B19" s="2" t="s">
        <v>58</v>
      </c>
      <c r="C19" s="2" t="s">
        <v>32</v>
      </c>
      <c r="D19" s="2" t="s">
        <v>33</v>
      </c>
      <c r="E19" s="2">
        <v>120000</v>
      </c>
      <c r="F19" s="4" t="s">
        <v>20</v>
      </c>
      <c r="G19" s="11" t="s">
        <v>34</v>
      </c>
      <c r="H19" s="11" t="s">
        <v>35</v>
      </c>
      <c r="I19" s="2">
        <v>6927</v>
      </c>
      <c r="J19" s="2">
        <v>69267</v>
      </c>
      <c r="L19" s="2" t="s">
        <v>64</v>
      </c>
      <c r="M19" s="2" t="str" cm="1">
        <f t="array" ref="M19:U19">_xlfn.XLOOKUP(L19,A3:A395,B3:J395,"not found",0)</f>
        <v>Corrections Officer</v>
      </c>
      <c r="N19" s="2" t="str">
        <v>5 years</v>
      </c>
      <c r="O19" s="2" t="str">
        <v>Mortgage</v>
      </c>
      <c r="P19" s="2">
        <v>74000</v>
      </c>
      <c r="Q19" s="2" t="str">
        <v>Verified</v>
      </c>
      <c r="R19" s="2" t="str">
        <v>107xx</v>
      </c>
      <c r="S19" s="2" t="str">
        <v>NY</v>
      </c>
      <c r="T19" s="2">
        <v>47824</v>
      </c>
      <c r="U19" s="2">
        <v>382595</v>
      </c>
      <c r="V19" s="2"/>
    </row>
    <row r="20" spans="1:22" x14ac:dyDescent="0.3">
      <c r="A20" s="2" t="s">
        <v>59</v>
      </c>
      <c r="B20" s="2" t="s">
        <v>60</v>
      </c>
      <c r="C20" s="2" t="s">
        <v>32</v>
      </c>
      <c r="D20" s="2" t="s">
        <v>19</v>
      </c>
      <c r="E20" s="2">
        <v>67500</v>
      </c>
      <c r="F20" s="4" t="s">
        <v>20</v>
      </c>
      <c r="G20" s="11" t="s">
        <v>34</v>
      </c>
      <c r="H20" s="11" t="s">
        <v>35</v>
      </c>
      <c r="I20" s="2">
        <v>1002</v>
      </c>
      <c r="J20" s="2">
        <v>7013</v>
      </c>
      <c r="L20" s="2" t="s">
        <v>132</v>
      </c>
      <c r="M20" s="2" t="str" cm="1">
        <f t="array" ref="M20:U20">_xlfn.XLOOKUP(L20,A4:A396,B4:J396,"not found",0)</f>
        <v xml:space="preserve">Claims Adjuster </v>
      </c>
      <c r="N20" s="2" t="str">
        <v>5 years</v>
      </c>
      <c r="O20" s="2" t="str">
        <v>Rent</v>
      </c>
      <c r="P20" s="2">
        <v>38000</v>
      </c>
      <c r="Q20" s="2" t="str">
        <v>Not Verified</v>
      </c>
      <c r="R20" s="2" t="str">
        <v>109xx</v>
      </c>
      <c r="S20" s="2" t="str">
        <v>NY</v>
      </c>
      <c r="T20" s="2">
        <v>1381</v>
      </c>
      <c r="U20" s="2">
        <v>19340</v>
      </c>
      <c r="V20" s="2"/>
    </row>
    <row r="21" spans="1:22" x14ac:dyDescent="0.3">
      <c r="A21" s="2" t="s">
        <v>61</v>
      </c>
      <c r="B21" s="2" t="s">
        <v>56</v>
      </c>
      <c r="C21" s="2" t="s">
        <v>32</v>
      </c>
      <c r="D21" s="2" t="s">
        <v>14</v>
      </c>
      <c r="E21" s="2">
        <v>30000</v>
      </c>
      <c r="F21" s="4" t="s">
        <v>22</v>
      </c>
      <c r="G21" s="11" t="s">
        <v>34</v>
      </c>
      <c r="H21" s="11" t="s">
        <v>35</v>
      </c>
      <c r="I21" s="2">
        <v>1441</v>
      </c>
      <c r="J21" s="2">
        <v>28818</v>
      </c>
      <c r="L21" s="2" t="s">
        <v>134</v>
      </c>
      <c r="M21" s="2" t="str" cm="1">
        <f t="array" ref="M21:U21">_xlfn.XLOOKUP(L21,A5:A397,B5:J397,"not found",0)</f>
        <v>Csr</v>
      </c>
      <c r="N21" s="2" t="str">
        <v>5 years</v>
      </c>
      <c r="O21" s="2" t="str">
        <v>Mortgage</v>
      </c>
      <c r="P21" s="2">
        <v>65000</v>
      </c>
      <c r="Q21" s="2" t="str">
        <v>Not Verified</v>
      </c>
      <c r="R21" s="2" t="str">
        <v>109xx</v>
      </c>
      <c r="S21" s="2" t="str">
        <v>NY</v>
      </c>
      <c r="T21" s="2">
        <v>20384</v>
      </c>
      <c r="U21" s="2">
        <v>448449</v>
      </c>
      <c r="V21" s="2"/>
    </row>
    <row r="22" spans="1:22" x14ac:dyDescent="0.3">
      <c r="A22" s="2" t="s">
        <v>62</v>
      </c>
      <c r="B22" s="2" t="s">
        <v>63</v>
      </c>
      <c r="C22" s="2" t="s">
        <v>32</v>
      </c>
      <c r="D22" s="2" t="s">
        <v>14</v>
      </c>
      <c r="E22" s="2">
        <v>121500</v>
      </c>
      <c r="F22" s="4" t="s">
        <v>20</v>
      </c>
      <c r="G22" s="11" t="s">
        <v>34</v>
      </c>
      <c r="H22" s="11" t="s">
        <v>35</v>
      </c>
      <c r="I22" s="2">
        <v>2576</v>
      </c>
      <c r="J22" s="2">
        <v>36059</v>
      </c>
      <c r="L22" s="2" t="s">
        <v>136</v>
      </c>
      <c r="M22" s="2" t="str" cm="1">
        <f t="array" ref="M22:U22">_xlfn.XLOOKUP(L22,A6:A398,B6:J398,"not found",0)</f>
        <v>Application Developer</v>
      </c>
      <c r="N22" s="2" t="str">
        <v>5 years</v>
      </c>
      <c r="O22" s="2" t="str">
        <v>Mortgage</v>
      </c>
      <c r="P22" s="2">
        <v>135000</v>
      </c>
      <c r="Q22" s="2" t="str">
        <v>Not Verified</v>
      </c>
      <c r="R22" s="2" t="str">
        <v>109xx</v>
      </c>
      <c r="S22" s="2" t="str">
        <v>NY</v>
      </c>
      <c r="T22" s="2">
        <v>35562</v>
      </c>
      <c r="U22" s="2">
        <v>355619</v>
      </c>
      <c r="V22" s="2"/>
    </row>
    <row r="23" spans="1:22" x14ac:dyDescent="0.3">
      <c r="A23" s="2" t="s">
        <v>64</v>
      </c>
      <c r="B23" s="2" t="s">
        <v>65</v>
      </c>
      <c r="C23" s="2" t="s">
        <v>32</v>
      </c>
      <c r="D23" s="2" t="s">
        <v>19</v>
      </c>
      <c r="E23" s="2">
        <v>74000</v>
      </c>
      <c r="F23" s="4" t="s">
        <v>15</v>
      </c>
      <c r="G23" s="11" t="s">
        <v>34</v>
      </c>
      <c r="H23" s="11" t="s">
        <v>35</v>
      </c>
      <c r="I23" s="2">
        <v>47824</v>
      </c>
      <c r="J23" s="2">
        <v>382595</v>
      </c>
      <c r="L23" s="2" t="s">
        <v>138</v>
      </c>
      <c r="M23" s="2" t="str" cm="1">
        <f t="array" ref="M23:U23">_xlfn.XLOOKUP(L23,A7:A399,B7:J399,"not found",0)</f>
        <v>None</v>
      </c>
      <c r="N23" s="2" t="str">
        <v>none</v>
      </c>
      <c r="O23" s="2" t="str">
        <v>Mortgage</v>
      </c>
      <c r="P23" s="2">
        <v>52800</v>
      </c>
      <c r="Q23" s="2" t="str">
        <v>Verified</v>
      </c>
      <c r="R23" s="2" t="str">
        <v>480xx</v>
      </c>
      <c r="S23" s="2" t="str">
        <v>MI</v>
      </c>
      <c r="T23" s="2">
        <v>21029</v>
      </c>
      <c r="U23" s="2">
        <v>105146</v>
      </c>
      <c r="V23" s="2"/>
    </row>
    <row r="24" spans="1:22" x14ac:dyDescent="0.3">
      <c r="A24" s="2" t="s">
        <v>66</v>
      </c>
      <c r="B24" s="2" t="s">
        <v>67</v>
      </c>
      <c r="C24" s="2" t="s">
        <v>32</v>
      </c>
      <c r="D24" s="2" t="s">
        <v>14</v>
      </c>
      <c r="E24" s="2">
        <v>70000</v>
      </c>
      <c r="F24" s="4" t="s">
        <v>22</v>
      </c>
      <c r="G24" s="11" t="s">
        <v>34</v>
      </c>
      <c r="H24" s="11" t="s">
        <v>35</v>
      </c>
      <c r="I24" s="2">
        <v>2583</v>
      </c>
      <c r="J24" s="2">
        <v>28413</v>
      </c>
      <c r="L24" s="2" t="s">
        <v>139</v>
      </c>
      <c r="M24" s="2" t="str" cm="1">
        <f t="array" ref="M24:U24">_xlfn.XLOOKUP(L24,A8:A400,B8:J400,"not found",0)</f>
        <v>National Client Space Manager</v>
      </c>
      <c r="N24" s="2" t="str">
        <v>5 years</v>
      </c>
      <c r="O24" s="2" t="str">
        <v>Mortgage</v>
      </c>
      <c r="P24" s="2">
        <v>86000</v>
      </c>
      <c r="Q24" s="2" t="str">
        <v>Source Verified</v>
      </c>
      <c r="R24" s="2" t="str">
        <v>109xx</v>
      </c>
      <c r="S24" s="2" t="str">
        <v>NY</v>
      </c>
      <c r="T24" s="2">
        <v>19868</v>
      </c>
      <c r="U24" s="2">
        <v>298017</v>
      </c>
      <c r="V24" s="2"/>
    </row>
    <row r="25" spans="1:22" x14ac:dyDescent="0.3">
      <c r="A25" s="2" t="s">
        <v>68</v>
      </c>
      <c r="B25" s="2" t="s">
        <v>69</v>
      </c>
      <c r="C25" s="2" t="s">
        <v>32</v>
      </c>
      <c r="D25" s="2" t="s">
        <v>14</v>
      </c>
      <c r="E25" s="2">
        <v>75000</v>
      </c>
      <c r="F25" s="4" t="s">
        <v>22</v>
      </c>
      <c r="G25" s="11" t="s">
        <v>34</v>
      </c>
      <c r="H25" s="11" t="s">
        <v>35</v>
      </c>
      <c r="I25" s="2">
        <v>3125</v>
      </c>
      <c r="J25" s="2">
        <v>40630</v>
      </c>
      <c r="L25" s="2" t="s">
        <v>141</v>
      </c>
      <c r="M25" s="2" t="str" cm="1">
        <f t="array" ref="M25:U25">_xlfn.XLOOKUP(L25,A9:A401,B9:J401,"not found",0)</f>
        <v xml:space="preserve">School Psychologist </v>
      </c>
      <c r="N25" s="2" t="str">
        <v>5 years</v>
      </c>
      <c r="O25" s="2" t="str">
        <v>Rent</v>
      </c>
      <c r="P25" s="2">
        <v>90000</v>
      </c>
      <c r="Q25" s="2" t="str">
        <v>Verified</v>
      </c>
      <c r="R25" s="2" t="str">
        <v>109xx</v>
      </c>
      <c r="S25" s="2" t="str">
        <v>NY</v>
      </c>
      <c r="T25" s="2">
        <v>11132</v>
      </c>
      <c r="U25" s="2">
        <v>144718</v>
      </c>
      <c r="V25" s="2"/>
    </row>
    <row r="26" spans="1:22" x14ac:dyDescent="0.3">
      <c r="A26" s="2" t="s">
        <v>70</v>
      </c>
      <c r="B26" s="2" t="s">
        <v>71</v>
      </c>
      <c r="C26" s="2" t="s">
        <v>32</v>
      </c>
      <c r="D26" s="2" t="s">
        <v>14</v>
      </c>
      <c r="E26" s="2">
        <v>65000</v>
      </c>
      <c r="F26" s="4" t="s">
        <v>22</v>
      </c>
      <c r="G26" s="11" t="s">
        <v>34</v>
      </c>
      <c r="H26" s="11" t="s">
        <v>35</v>
      </c>
      <c r="I26" s="2">
        <v>5861</v>
      </c>
      <c r="J26" s="2">
        <v>111366</v>
      </c>
      <c r="L26" s="2" t="s">
        <v>143</v>
      </c>
      <c r="M26" s="2" t="str" cm="1">
        <f t="array" ref="M26:U26">_xlfn.XLOOKUP(L26,A10:A402,B10:J402,"not found",0)</f>
        <v>Teacher</v>
      </c>
      <c r="N26" s="2" t="str">
        <v>5 years</v>
      </c>
      <c r="O26" s="2" t="str">
        <v>Mortgage</v>
      </c>
      <c r="P26" s="2">
        <v>96000</v>
      </c>
      <c r="Q26" s="2" t="str">
        <v>Not Verified</v>
      </c>
      <c r="R26" s="2" t="str">
        <v>109xx</v>
      </c>
      <c r="S26" s="2" t="str">
        <v>NY</v>
      </c>
      <c r="T26" s="2">
        <v>54834</v>
      </c>
      <c r="U26" s="2">
        <v>383838</v>
      </c>
      <c r="V26" s="2"/>
    </row>
    <row r="27" spans="1:22" x14ac:dyDescent="0.3">
      <c r="A27" s="2" t="s">
        <v>72</v>
      </c>
      <c r="B27" s="2" t="s">
        <v>73</v>
      </c>
      <c r="C27" s="2" t="s">
        <v>32</v>
      </c>
      <c r="D27" s="2" t="s">
        <v>33</v>
      </c>
      <c r="E27" s="2">
        <v>50000</v>
      </c>
      <c r="F27" s="4" t="s">
        <v>20</v>
      </c>
      <c r="G27" s="11" t="s">
        <v>34</v>
      </c>
      <c r="H27" s="11" t="s">
        <v>35</v>
      </c>
      <c r="I27" s="2">
        <v>4791</v>
      </c>
      <c r="J27" s="2">
        <v>28747</v>
      </c>
    </row>
    <row r="28" spans="1:22" x14ac:dyDescent="0.3">
      <c r="A28" s="2" t="s">
        <v>74</v>
      </c>
      <c r="B28" s="2" t="s">
        <v>12</v>
      </c>
      <c r="C28" s="2" t="s">
        <v>13</v>
      </c>
      <c r="D28" s="2" t="s">
        <v>14</v>
      </c>
      <c r="E28" s="2">
        <v>26412</v>
      </c>
      <c r="F28" s="4" t="s">
        <v>15</v>
      </c>
      <c r="G28" s="11" t="s">
        <v>28</v>
      </c>
      <c r="H28" s="11" t="s">
        <v>29</v>
      </c>
      <c r="I28" s="2">
        <v>1297</v>
      </c>
      <c r="J28" s="2">
        <v>20751</v>
      </c>
    </row>
    <row r="29" spans="1:22" x14ac:dyDescent="0.3">
      <c r="A29" s="2" t="s">
        <v>75</v>
      </c>
      <c r="B29" s="2" t="s">
        <v>76</v>
      </c>
      <c r="C29" s="2" t="s">
        <v>32</v>
      </c>
      <c r="D29" s="2" t="s">
        <v>14</v>
      </c>
      <c r="E29" s="2">
        <v>110000</v>
      </c>
      <c r="F29" s="4" t="s">
        <v>22</v>
      </c>
      <c r="G29" s="11" t="s">
        <v>34</v>
      </c>
      <c r="H29" s="11" t="s">
        <v>35</v>
      </c>
      <c r="I29" s="2">
        <v>10787</v>
      </c>
      <c r="J29" s="2">
        <v>204961</v>
      </c>
    </row>
    <row r="30" spans="1:22" x14ac:dyDescent="0.3">
      <c r="A30" s="2" t="s">
        <v>77</v>
      </c>
      <c r="B30" s="2" t="s">
        <v>78</v>
      </c>
      <c r="C30" s="2" t="s">
        <v>32</v>
      </c>
      <c r="D30" s="2" t="s">
        <v>14</v>
      </c>
      <c r="E30" s="2">
        <v>65000</v>
      </c>
      <c r="F30" s="4" t="s">
        <v>15</v>
      </c>
      <c r="G30" s="11" t="s">
        <v>34</v>
      </c>
      <c r="H30" s="11" t="s">
        <v>35</v>
      </c>
      <c r="I30" s="2">
        <v>5000</v>
      </c>
      <c r="J30" s="2">
        <v>40001</v>
      </c>
    </row>
    <row r="31" spans="1:22" x14ac:dyDescent="0.3">
      <c r="A31" s="2" t="s">
        <v>79</v>
      </c>
      <c r="B31" s="2" t="s">
        <v>80</v>
      </c>
      <c r="C31" s="2" t="s">
        <v>32</v>
      </c>
      <c r="D31" s="2" t="s">
        <v>14</v>
      </c>
      <c r="E31" s="2">
        <v>40000</v>
      </c>
      <c r="F31" s="4" t="s">
        <v>22</v>
      </c>
      <c r="G31" s="11" t="s">
        <v>34</v>
      </c>
      <c r="H31" s="11" t="s">
        <v>35</v>
      </c>
      <c r="I31" s="2">
        <v>2141</v>
      </c>
      <c r="J31" s="2">
        <v>8562</v>
      </c>
    </row>
    <row r="32" spans="1:22" x14ac:dyDescent="0.3">
      <c r="A32" s="2" t="s">
        <v>81</v>
      </c>
      <c r="B32" s="2" t="s">
        <v>82</v>
      </c>
      <c r="C32" s="2" t="s">
        <v>32</v>
      </c>
      <c r="D32" s="2" t="s">
        <v>19</v>
      </c>
      <c r="E32" s="2">
        <v>50000</v>
      </c>
      <c r="F32" s="4" t="s">
        <v>15</v>
      </c>
      <c r="G32" s="11" t="s">
        <v>34</v>
      </c>
      <c r="H32" s="11" t="s">
        <v>35</v>
      </c>
      <c r="I32" s="2">
        <v>4095</v>
      </c>
      <c r="J32" s="2">
        <v>8189</v>
      </c>
    </row>
    <row r="33" spans="1:22" x14ac:dyDescent="0.3">
      <c r="A33" s="2" t="s">
        <v>83</v>
      </c>
      <c r="B33" s="2" t="s">
        <v>84</v>
      </c>
      <c r="C33" s="2" t="s">
        <v>32</v>
      </c>
      <c r="D33" s="2" t="s">
        <v>19</v>
      </c>
      <c r="E33" s="2">
        <v>200000</v>
      </c>
      <c r="F33" s="4" t="s">
        <v>20</v>
      </c>
      <c r="G33" s="11" t="s">
        <v>34</v>
      </c>
      <c r="H33" s="11" t="s">
        <v>35</v>
      </c>
      <c r="I33" s="2">
        <v>9618</v>
      </c>
      <c r="J33" s="2">
        <v>134654</v>
      </c>
      <c r="L33" s="1" t="s">
        <v>0</v>
      </c>
      <c r="M33" s="1" t="s">
        <v>1</v>
      </c>
      <c r="N33" s="1" t="s">
        <v>2</v>
      </c>
      <c r="O33" s="1" t="s">
        <v>3</v>
      </c>
      <c r="P33" s="1" t="s">
        <v>4</v>
      </c>
      <c r="Q33" s="1" t="s">
        <v>6</v>
      </c>
      <c r="R33" s="10" t="s">
        <v>7</v>
      </c>
      <c r="S33" s="10" t="s">
        <v>8</v>
      </c>
      <c r="T33" s="1" t="s">
        <v>9</v>
      </c>
      <c r="U33" s="1" t="s">
        <v>10</v>
      </c>
      <c r="V33" s="1"/>
    </row>
    <row r="34" spans="1:22" x14ac:dyDescent="0.3">
      <c r="A34" s="2" t="s">
        <v>85</v>
      </c>
      <c r="B34" s="2" t="s">
        <v>56</v>
      </c>
      <c r="C34" s="2" t="s">
        <v>32</v>
      </c>
      <c r="D34" s="2" t="s">
        <v>14</v>
      </c>
      <c r="E34" s="2">
        <v>45000</v>
      </c>
      <c r="F34" s="4" t="s">
        <v>22</v>
      </c>
      <c r="G34" s="11" t="s">
        <v>34</v>
      </c>
      <c r="H34" s="11" t="s">
        <v>35</v>
      </c>
      <c r="I34" s="2">
        <v>3398</v>
      </c>
      <c r="J34" s="2">
        <v>20389</v>
      </c>
      <c r="L34" s="13" t="s">
        <v>11</v>
      </c>
      <c r="M34" s="22" t="str" cm="1">
        <f t="array" ref="M34:U34">_xlfn.XLOOKUP(L34,A2:A394,B2:J394,,0)</f>
        <v>None</v>
      </c>
      <c r="N34" s="22" t="str">
        <v>none</v>
      </c>
      <c r="O34" s="22" t="str">
        <v>Rent</v>
      </c>
      <c r="P34" s="22">
        <v>25000</v>
      </c>
      <c r="Q34" s="22" t="str">
        <v>Verified</v>
      </c>
      <c r="R34" s="22" t="str">
        <v>010xx</v>
      </c>
      <c r="S34" s="22" t="str">
        <v>MA</v>
      </c>
      <c r="T34" s="22">
        <v>6864</v>
      </c>
      <c r="U34" s="22">
        <v>34322</v>
      </c>
      <c r="V34" s="22"/>
    </row>
    <row r="35" spans="1:22" x14ac:dyDescent="0.3">
      <c r="A35" s="2" t="s">
        <v>86</v>
      </c>
      <c r="B35" s="2" t="s">
        <v>87</v>
      </c>
      <c r="C35" s="2" t="s">
        <v>32</v>
      </c>
      <c r="D35" s="2" t="s">
        <v>33</v>
      </c>
      <c r="E35" s="2">
        <v>75000</v>
      </c>
      <c r="F35" s="4" t="s">
        <v>15</v>
      </c>
      <c r="G35" s="11" t="s">
        <v>34</v>
      </c>
      <c r="H35" s="11" t="s">
        <v>35</v>
      </c>
      <c r="I35" s="2">
        <v>41888</v>
      </c>
      <c r="J35" s="2">
        <v>335106</v>
      </c>
      <c r="L35" s="22" t="s">
        <v>18</v>
      </c>
      <c r="M35" s="22" t="str" cm="1">
        <f t="array" ref="M35:U35">_xlfn.XLOOKUP(L35,A3:A395,B3:J395,,0)</f>
        <v>None</v>
      </c>
      <c r="N35" s="22" t="str">
        <v>none</v>
      </c>
      <c r="O35" s="22" t="str">
        <v>Mortgage</v>
      </c>
      <c r="P35" s="22">
        <v>185000</v>
      </c>
      <c r="Q35" s="22" t="str">
        <v>Not Verified</v>
      </c>
      <c r="R35" s="22" t="str">
        <v>010xx</v>
      </c>
      <c r="S35" s="22" t="str">
        <v>MA</v>
      </c>
      <c r="T35" s="22">
        <v>7930</v>
      </c>
      <c r="U35" s="22">
        <v>150674</v>
      </c>
      <c r="V35" s="22"/>
    </row>
    <row r="36" spans="1:22" x14ac:dyDescent="0.3">
      <c r="A36" s="2" t="s">
        <v>88</v>
      </c>
      <c r="B36" s="2" t="s">
        <v>89</v>
      </c>
      <c r="C36" s="2" t="s">
        <v>32</v>
      </c>
      <c r="D36" s="2" t="s">
        <v>14</v>
      </c>
      <c r="E36" s="2">
        <v>75000</v>
      </c>
      <c r="F36" s="4" t="s">
        <v>22</v>
      </c>
      <c r="G36" s="11" t="s">
        <v>90</v>
      </c>
      <c r="H36" s="11" t="s">
        <v>35</v>
      </c>
      <c r="I36" s="2">
        <v>1741</v>
      </c>
      <c r="J36" s="2">
        <v>15673</v>
      </c>
      <c r="L36" s="22" t="s">
        <v>155</v>
      </c>
      <c r="M36" s="22" t="str" cm="1">
        <f t="array" ref="M36:U36">_xlfn.XLOOKUP(L36,A4:A396,B4:J396,,0)</f>
        <v>It Manager</v>
      </c>
      <c r="N36" s="22" t="str">
        <v>5 years</v>
      </c>
      <c r="O36" s="22" t="str">
        <v>Rent</v>
      </c>
      <c r="P36" s="22">
        <v>82000</v>
      </c>
      <c r="Q36" s="22" t="str">
        <v>Not Verified</v>
      </c>
      <c r="R36" s="22" t="str">
        <v>109xx</v>
      </c>
      <c r="S36" s="22" t="str">
        <v>NY</v>
      </c>
      <c r="T36" s="22">
        <v>851</v>
      </c>
      <c r="U36" s="22">
        <v>10215</v>
      </c>
      <c r="V36" s="22"/>
    </row>
    <row r="37" spans="1:22" x14ac:dyDescent="0.3">
      <c r="A37" s="2" t="s">
        <v>91</v>
      </c>
      <c r="B37" s="2" t="s">
        <v>92</v>
      </c>
      <c r="C37" s="2" t="s">
        <v>32</v>
      </c>
      <c r="D37" s="2" t="s">
        <v>14</v>
      </c>
      <c r="E37" s="2">
        <v>105000</v>
      </c>
      <c r="F37" s="4" t="s">
        <v>22</v>
      </c>
      <c r="G37" s="11" t="s">
        <v>90</v>
      </c>
      <c r="H37" s="11" t="s">
        <v>35</v>
      </c>
      <c r="I37" s="2">
        <v>2975</v>
      </c>
      <c r="J37" s="2">
        <v>20828</v>
      </c>
      <c r="L37" s="22" t="s">
        <v>557</v>
      </c>
      <c r="M37" s="22" t="str" cm="1">
        <f t="array" ref="M37:U37">_xlfn.XLOOKUP(L37,A5:A397,B5:J397,,0)</f>
        <v>Director</v>
      </c>
      <c r="N37" s="22" t="str">
        <v>5 years</v>
      </c>
      <c r="O37" s="22" t="str">
        <v>Rent</v>
      </c>
      <c r="P37" s="22">
        <v>275000</v>
      </c>
      <c r="Q37" s="22" t="str">
        <v>Verified</v>
      </c>
      <c r="R37" s="22" t="str">
        <v>112xx</v>
      </c>
      <c r="S37" s="22" t="str">
        <v>NY</v>
      </c>
      <c r="T37" s="22">
        <v>6379</v>
      </c>
      <c r="U37" s="22">
        <v>70168</v>
      </c>
      <c r="V37" s="22"/>
    </row>
    <row r="38" spans="1:22" x14ac:dyDescent="0.3">
      <c r="A38" s="2" t="s">
        <v>93</v>
      </c>
      <c r="B38" s="2" t="s">
        <v>94</v>
      </c>
      <c r="C38" s="2" t="s">
        <v>32</v>
      </c>
      <c r="D38" s="2" t="s">
        <v>14</v>
      </c>
      <c r="E38" s="2">
        <v>52000</v>
      </c>
      <c r="F38" s="4" t="s">
        <v>22</v>
      </c>
      <c r="G38" s="11" t="s">
        <v>90</v>
      </c>
      <c r="H38" s="11" t="s">
        <v>35</v>
      </c>
      <c r="I38" s="2">
        <v>3337</v>
      </c>
      <c r="J38" s="2">
        <v>20021</v>
      </c>
      <c r="L38" s="22" t="s">
        <v>98</v>
      </c>
      <c r="M38" s="22" t="str" cm="1">
        <f t="array" ref="M38:U38">_xlfn.XLOOKUP(L38,A6:A398,B6:J398,,0)</f>
        <v>Dental Hygiene</v>
      </c>
      <c r="N38" s="22" t="str">
        <v>5 years</v>
      </c>
      <c r="O38" s="22" t="str">
        <v>Rent</v>
      </c>
      <c r="P38" s="22">
        <v>96000</v>
      </c>
      <c r="Q38" s="22" t="str">
        <v>Not Verified</v>
      </c>
      <c r="R38" s="22" t="str">
        <v>108xx</v>
      </c>
      <c r="S38" s="22" t="str">
        <v>NY</v>
      </c>
      <c r="T38" s="22">
        <v>41983</v>
      </c>
      <c r="U38" s="22">
        <v>251895</v>
      </c>
      <c r="V38" s="22"/>
    </row>
    <row r="39" spans="1:22" x14ac:dyDescent="0.3">
      <c r="A39" s="2" t="s">
        <v>95</v>
      </c>
      <c r="B39" s="2" t="s">
        <v>12</v>
      </c>
      <c r="C39" s="2" t="s">
        <v>13</v>
      </c>
      <c r="D39" s="2" t="s">
        <v>19</v>
      </c>
      <c r="E39" s="2">
        <v>9000</v>
      </c>
      <c r="F39" s="4" t="s">
        <v>15</v>
      </c>
      <c r="G39" s="11" t="s">
        <v>28</v>
      </c>
      <c r="H39" s="11" t="s">
        <v>29</v>
      </c>
      <c r="I39" s="2">
        <v>11996</v>
      </c>
      <c r="J39" s="2">
        <v>71976</v>
      </c>
    </row>
    <row r="40" spans="1:22" x14ac:dyDescent="0.3">
      <c r="A40" s="2" t="s">
        <v>96</v>
      </c>
      <c r="B40" s="2" t="s">
        <v>97</v>
      </c>
      <c r="C40" s="2" t="s">
        <v>32</v>
      </c>
      <c r="D40" s="2" t="s">
        <v>14</v>
      </c>
      <c r="E40" s="2">
        <v>90000</v>
      </c>
      <c r="F40" s="4" t="s">
        <v>20</v>
      </c>
      <c r="G40" s="11" t="s">
        <v>90</v>
      </c>
      <c r="H40" s="11" t="s">
        <v>35</v>
      </c>
      <c r="I40" s="2">
        <v>1763</v>
      </c>
      <c r="J40" s="2">
        <v>14107</v>
      </c>
      <c r="M40" t="str" cm="1">
        <f t="array" ref="M40">_xlfn.XLOOKUP(L40,A2:A33,B2:J33,"")</f>
        <v/>
      </c>
    </row>
    <row r="41" spans="1:22" x14ac:dyDescent="0.3">
      <c r="A41" s="2" t="s">
        <v>98</v>
      </c>
      <c r="B41" s="2" t="s">
        <v>99</v>
      </c>
      <c r="C41" s="2" t="s">
        <v>32</v>
      </c>
      <c r="D41" s="2" t="s">
        <v>14</v>
      </c>
      <c r="E41" s="2">
        <v>96000</v>
      </c>
      <c r="F41" s="4" t="s">
        <v>20</v>
      </c>
      <c r="G41" s="11" t="s">
        <v>90</v>
      </c>
      <c r="H41" s="11" t="s">
        <v>35</v>
      </c>
      <c r="I41" s="2">
        <v>41983</v>
      </c>
      <c r="J41" s="2">
        <v>251895</v>
      </c>
      <c r="Q41" s="19"/>
    </row>
    <row r="42" spans="1:22" x14ac:dyDescent="0.3">
      <c r="A42" s="2" t="s">
        <v>100</v>
      </c>
      <c r="B42" s="2" t="s">
        <v>101</v>
      </c>
      <c r="C42" s="2" t="s">
        <v>32</v>
      </c>
      <c r="D42" s="2" t="s">
        <v>14</v>
      </c>
      <c r="E42" s="2">
        <v>58214</v>
      </c>
      <c r="F42" s="4" t="s">
        <v>22</v>
      </c>
      <c r="G42" s="11" t="s">
        <v>90</v>
      </c>
      <c r="H42" s="11" t="s">
        <v>35</v>
      </c>
      <c r="I42" s="2">
        <v>2009</v>
      </c>
      <c r="J42" s="2">
        <v>18082</v>
      </c>
    </row>
    <row r="43" spans="1:22" x14ac:dyDescent="0.3">
      <c r="A43" s="2" t="s">
        <v>102</v>
      </c>
      <c r="B43" s="2" t="s">
        <v>103</v>
      </c>
      <c r="C43" s="2" t="s">
        <v>32</v>
      </c>
      <c r="D43" s="2" t="s">
        <v>14</v>
      </c>
      <c r="E43" s="2">
        <v>66000</v>
      </c>
      <c r="F43" s="4" t="s">
        <v>20</v>
      </c>
      <c r="G43" s="11" t="s">
        <v>90</v>
      </c>
      <c r="H43" s="11" t="s">
        <v>35</v>
      </c>
      <c r="I43" s="2">
        <v>1767</v>
      </c>
      <c r="J43" s="2">
        <v>21200</v>
      </c>
    </row>
    <row r="44" spans="1:22" x14ac:dyDescent="0.3">
      <c r="A44" s="2" t="s">
        <v>104</v>
      </c>
      <c r="B44" s="2" t="s">
        <v>105</v>
      </c>
      <c r="C44" s="2" t="s">
        <v>32</v>
      </c>
      <c r="D44" s="2" t="s">
        <v>33</v>
      </c>
      <c r="E44" s="2">
        <v>45000</v>
      </c>
      <c r="F44" s="4" t="s">
        <v>22</v>
      </c>
      <c r="G44" s="11" t="s">
        <v>106</v>
      </c>
      <c r="H44" s="11" t="s">
        <v>35</v>
      </c>
      <c r="I44" s="2">
        <v>4226</v>
      </c>
      <c r="J44" s="2">
        <v>80289</v>
      </c>
      <c r="M44" s="18" t="s">
        <v>15</v>
      </c>
      <c r="N44" s="16" t="s">
        <v>20</v>
      </c>
      <c r="O44" s="16" t="s">
        <v>22</v>
      </c>
    </row>
    <row r="45" spans="1:22" x14ac:dyDescent="0.3">
      <c r="A45" s="2" t="s">
        <v>107</v>
      </c>
      <c r="B45" s="2" t="s">
        <v>108</v>
      </c>
      <c r="C45" s="2" t="s">
        <v>32</v>
      </c>
      <c r="D45" s="2" t="s">
        <v>19</v>
      </c>
      <c r="E45" s="2">
        <v>55000</v>
      </c>
      <c r="F45" s="4" t="s">
        <v>20</v>
      </c>
      <c r="G45" s="11" t="s">
        <v>106</v>
      </c>
      <c r="H45" s="11" t="s">
        <v>109</v>
      </c>
      <c r="I45" s="2">
        <v>28764</v>
      </c>
      <c r="J45" s="2">
        <v>230115</v>
      </c>
      <c r="M45" s="17" cm="1">
        <f t="array" ref="M45:O45">COUNTIF(F2:F394,M44:O44)</f>
        <v>91</v>
      </c>
      <c r="N45" s="17">
        <v>138</v>
      </c>
      <c r="O45" s="17">
        <v>164</v>
      </c>
    </row>
    <row r="46" spans="1:22" x14ac:dyDescent="0.3">
      <c r="A46" s="2" t="s">
        <v>110</v>
      </c>
      <c r="B46" s="2" t="s">
        <v>111</v>
      </c>
      <c r="C46" s="2" t="s">
        <v>32</v>
      </c>
      <c r="D46" s="2" t="s">
        <v>14</v>
      </c>
      <c r="E46" s="2">
        <v>50000</v>
      </c>
      <c r="F46" s="4" t="s">
        <v>15</v>
      </c>
      <c r="G46" s="11" t="s">
        <v>106</v>
      </c>
      <c r="H46" s="11" t="s">
        <v>35</v>
      </c>
      <c r="I46" s="2">
        <v>2227</v>
      </c>
      <c r="J46" s="2">
        <v>31172</v>
      </c>
    </row>
    <row r="47" spans="1:22" x14ac:dyDescent="0.3">
      <c r="A47" s="2" t="s">
        <v>112</v>
      </c>
      <c r="B47" s="2" t="s">
        <v>113</v>
      </c>
      <c r="C47" s="2" t="s">
        <v>32</v>
      </c>
      <c r="D47" s="2" t="s">
        <v>19</v>
      </c>
      <c r="E47" s="2">
        <v>80000</v>
      </c>
      <c r="F47" s="4" t="s">
        <v>22</v>
      </c>
      <c r="G47" s="11" t="s">
        <v>106</v>
      </c>
      <c r="H47" s="11" t="s">
        <v>35</v>
      </c>
      <c r="I47" s="2">
        <v>25517</v>
      </c>
      <c r="J47" s="2">
        <v>229656</v>
      </c>
    </row>
    <row r="48" spans="1:22" x14ac:dyDescent="0.3">
      <c r="A48" s="2" t="s">
        <v>114</v>
      </c>
      <c r="B48" s="2" t="s">
        <v>115</v>
      </c>
      <c r="C48" s="2" t="s">
        <v>32</v>
      </c>
      <c r="D48" s="2" t="s">
        <v>19</v>
      </c>
      <c r="E48" s="2">
        <v>86469</v>
      </c>
      <c r="F48" s="4" t="s">
        <v>20</v>
      </c>
      <c r="G48" s="11" t="s">
        <v>106</v>
      </c>
      <c r="H48" s="11" t="s">
        <v>35</v>
      </c>
      <c r="I48" s="2">
        <v>24846</v>
      </c>
      <c r="J48" s="2">
        <v>173923</v>
      </c>
    </row>
    <row r="49" spans="1:17" x14ac:dyDescent="0.3">
      <c r="A49" s="2" t="s">
        <v>116</v>
      </c>
      <c r="B49" s="2" t="s">
        <v>117</v>
      </c>
      <c r="C49" s="2" t="s">
        <v>32</v>
      </c>
      <c r="D49" s="2" t="s">
        <v>14</v>
      </c>
      <c r="E49" s="2">
        <v>65000</v>
      </c>
      <c r="F49" s="4" t="s">
        <v>22</v>
      </c>
      <c r="G49" s="11" t="s">
        <v>106</v>
      </c>
      <c r="H49" s="11" t="s">
        <v>35</v>
      </c>
      <c r="I49" s="2">
        <v>1737</v>
      </c>
      <c r="J49" s="2">
        <v>39950</v>
      </c>
    </row>
    <row r="50" spans="1:17" x14ac:dyDescent="0.3">
      <c r="A50" s="2" t="s">
        <v>118</v>
      </c>
      <c r="B50" s="2" t="s">
        <v>12</v>
      </c>
      <c r="C50" s="2" t="s">
        <v>13</v>
      </c>
      <c r="D50" s="2" t="s">
        <v>19</v>
      </c>
      <c r="E50" s="2">
        <v>65000</v>
      </c>
      <c r="F50" s="4" t="s">
        <v>20</v>
      </c>
      <c r="G50" s="11" t="s">
        <v>28</v>
      </c>
      <c r="H50" s="11" t="s">
        <v>29</v>
      </c>
      <c r="I50" s="2">
        <v>9379</v>
      </c>
      <c r="J50" s="2">
        <v>103172</v>
      </c>
      <c r="M50" s="20" t="s">
        <v>17</v>
      </c>
      <c r="N50" s="20" t="s">
        <v>26</v>
      </c>
      <c r="O50" s="20" t="s">
        <v>29</v>
      </c>
      <c r="P50" s="20" t="s">
        <v>35</v>
      </c>
      <c r="Q50" s="20" t="s">
        <v>109</v>
      </c>
    </row>
    <row r="51" spans="1:17" x14ac:dyDescent="0.3">
      <c r="A51" s="2" t="s">
        <v>119</v>
      </c>
      <c r="B51" s="2" t="s">
        <v>120</v>
      </c>
      <c r="C51" s="2" t="s">
        <v>32</v>
      </c>
      <c r="D51" s="2" t="s">
        <v>19</v>
      </c>
      <c r="E51" s="2">
        <v>90000</v>
      </c>
      <c r="F51" s="4" t="s">
        <v>20</v>
      </c>
      <c r="G51" s="11" t="s">
        <v>106</v>
      </c>
      <c r="H51" s="11" t="s">
        <v>35</v>
      </c>
      <c r="I51" s="2">
        <v>48282</v>
      </c>
      <c r="J51" s="2">
        <v>386252</v>
      </c>
      <c r="M51" s="17" cm="1">
        <f t="array" ref="M51:Q51">COUNTIFS(H2:H394,M50:Q50)</f>
        <v>3</v>
      </c>
      <c r="N51" s="17">
        <v>4</v>
      </c>
      <c r="O51" s="17">
        <v>36</v>
      </c>
      <c r="P51" s="17">
        <v>349</v>
      </c>
      <c r="Q51" s="17">
        <v>1</v>
      </c>
    </row>
    <row r="52" spans="1:17" x14ac:dyDescent="0.3">
      <c r="A52" s="2" t="s">
        <v>121</v>
      </c>
      <c r="B52" s="2" t="s">
        <v>122</v>
      </c>
      <c r="C52" s="2" t="s">
        <v>32</v>
      </c>
      <c r="D52" s="2" t="s">
        <v>19</v>
      </c>
      <c r="E52" s="2">
        <v>175000</v>
      </c>
      <c r="F52" s="4" t="s">
        <v>15</v>
      </c>
      <c r="G52" s="11" t="s">
        <v>106</v>
      </c>
      <c r="H52" s="11" t="s">
        <v>35</v>
      </c>
      <c r="I52" s="2">
        <v>8503</v>
      </c>
      <c r="J52" s="2">
        <v>323115</v>
      </c>
    </row>
    <row r="53" spans="1:17" x14ac:dyDescent="0.3">
      <c r="A53" s="2" t="s">
        <v>123</v>
      </c>
      <c r="B53" s="2" t="s">
        <v>56</v>
      </c>
      <c r="C53" s="2" t="s">
        <v>32</v>
      </c>
      <c r="D53" s="2" t="s">
        <v>14</v>
      </c>
      <c r="E53" s="2">
        <v>60000</v>
      </c>
      <c r="F53" s="4" t="s">
        <v>22</v>
      </c>
      <c r="G53" s="11" t="s">
        <v>106</v>
      </c>
      <c r="H53" s="11" t="s">
        <v>35</v>
      </c>
      <c r="I53" s="2">
        <v>3334</v>
      </c>
      <c r="J53" s="2">
        <v>30006</v>
      </c>
    </row>
    <row r="54" spans="1:17" x14ac:dyDescent="0.3">
      <c r="A54" s="2" t="s">
        <v>124</v>
      </c>
      <c r="B54" s="2" t="s">
        <v>125</v>
      </c>
      <c r="C54" s="2" t="s">
        <v>32</v>
      </c>
      <c r="D54" s="2" t="s">
        <v>14</v>
      </c>
      <c r="E54" s="2">
        <v>161000</v>
      </c>
      <c r="F54" s="4" t="s">
        <v>22</v>
      </c>
      <c r="G54" s="11" t="s">
        <v>106</v>
      </c>
      <c r="H54" s="11" t="s">
        <v>35</v>
      </c>
      <c r="I54" s="2">
        <v>3538</v>
      </c>
      <c r="J54" s="2">
        <v>49537</v>
      </c>
    </row>
    <row r="55" spans="1:17" x14ac:dyDescent="0.3">
      <c r="A55" s="2" t="s">
        <v>126</v>
      </c>
      <c r="B55" s="2" t="s">
        <v>127</v>
      </c>
      <c r="C55" s="2" t="s">
        <v>32</v>
      </c>
      <c r="D55" s="2" t="s">
        <v>33</v>
      </c>
      <c r="E55" s="2">
        <v>85000</v>
      </c>
      <c r="F55" s="4" t="s">
        <v>22</v>
      </c>
      <c r="G55" s="11" t="s">
        <v>106</v>
      </c>
      <c r="H55" s="11" t="s">
        <v>35</v>
      </c>
      <c r="I55" s="2">
        <v>6776</v>
      </c>
      <c r="J55" s="2">
        <v>203282</v>
      </c>
    </row>
    <row r="56" spans="1:17" x14ac:dyDescent="0.3">
      <c r="A56" s="2" t="s">
        <v>128</v>
      </c>
      <c r="B56" s="2" t="s">
        <v>129</v>
      </c>
      <c r="C56" s="2" t="s">
        <v>32</v>
      </c>
      <c r="D56" s="2" t="s">
        <v>14</v>
      </c>
      <c r="E56" s="2">
        <v>49000</v>
      </c>
      <c r="F56" s="4" t="s">
        <v>22</v>
      </c>
      <c r="G56" s="11" t="s">
        <v>106</v>
      </c>
      <c r="H56" s="11" t="s">
        <v>35</v>
      </c>
      <c r="I56" s="2">
        <v>2192</v>
      </c>
      <c r="J56" s="2">
        <v>19731</v>
      </c>
      <c r="L56" s="1" t="s">
        <v>0</v>
      </c>
      <c r="M56" s="1" t="s">
        <v>1</v>
      </c>
      <c r="N56" s="1" t="s">
        <v>4</v>
      </c>
      <c r="O56" s="1" t="s">
        <v>10</v>
      </c>
    </row>
    <row r="57" spans="1:17" x14ac:dyDescent="0.3">
      <c r="A57" s="2" t="s">
        <v>130</v>
      </c>
      <c r="B57" s="2" t="s">
        <v>131</v>
      </c>
      <c r="C57" s="2" t="s">
        <v>32</v>
      </c>
      <c r="D57" s="2" t="s">
        <v>14</v>
      </c>
      <c r="E57" s="2">
        <v>70000</v>
      </c>
      <c r="F57" s="4" t="s">
        <v>22</v>
      </c>
      <c r="G57" s="11" t="s">
        <v>106</v>
      </c>
      <c r="H57" s="11" t="s">
        <v>35</v>
      </c>
      <c r="I57" s="2">
        <v>3660</v>
      </c>
      <c r="J57" s="2">
        <v>29277</v>
      </c>
      <c r="L57" s="17" t="s">
        <v>11</v>
      </c>
      <c r="M57" s="17" t="str" cm="1">
        <f t="array" ref="M57:O57">VLOOKUP(L57,A2:J394,{2,5,10},FALSE)</f>
        <v>None</v>
      </c>
      <c r="N57" s="17">
        <v>25000</v>
      </c>
      <c r="O57" s="17">
        <v>34322</v>
      </c>
    </row>
    <row r="58" spans="1:17" x14ac:dyDescent="0.3">
      <c r="A58" s="2" t="s">
        <v>132</v>
      </c>
      <c r="B58" s="2" t="s">
        <v>133</v>
      </c>
      <c r="C58" s="2" t="s">
        <v>32</v>
      </c>
      <c r="D58" s="2" t="s">
        <v>14</v>
      </c>
      <c r="E58" s="2">
        <v>38000</v>
      </c>
      <c r="F58" s="4" t="s">
        <v>20</v>
      </c>
      <c r="G58" s="11" t="s">
        <v>106</v>
      </c>
      <c r="H58" s="11" t="s">
        <v>35</v>
      </c>
      <c r="I58" s="2">
        <v>1381</v>
      </c>
      <c r="J58" s="2">
        <v>19340</v>
      </c>
      <c r="L58" s="17" t="s">
        <v>121</v>
      </c>
      <c r="M58" s="17" t="str" cm="1">
        <f t="array" ref="M58:O58">VLOOKUP(L58,A3:J395,{2,5,10},FALSE)</f>
        <v>Sales</v>
      </c>
      <c r="N58" s="17">
        <v>175000</v>
      </c>
      <c r="O58" s="17">
        <v>323115</v>
      </c>
    </row>
    <row r="59" spans="1:17" x14ac:dyDescent="0.3">
      <c r="A59" s="2" t="s">
        <v>134</v>
      </c>
      <c r="B59" s="2" t="s">
        <v>135</v>
      </c>
      <c r="C59" s="2" t="s">
        <v>32</v>
      </c>
      <c r="D59" s="2" t="s">
        <v>19</v>
      </c>
      <c r="E59" s="2">
        <v>65000</v>
      </c>
      <c r="F59" s="4" t="s">
        <v>20</v>
      </c>
      <c r="G59" s="11" t="s">
        <v>106</v>
      </c>
      <c r="H59" s="11" t="s">
        <v>35</v>
      </c>
      <c r="I59" s="2">
        <v>20384</v>
      </c>
      <c r="J59" s="2">
        <v>448449</v>
      </c>
      <c r="L59" s="17" t="s">
        <v>357</v>
      </c>
      <c r="M59" s="17" t="str" cm="1">
        <f t="array" ref="M59:O59">VLOOKUP(L59,A4:J396,{2,5,10},FALSE)</f>
        <v>None</v>
      </c>
      <c r="N59" s="17">
        <v>44000</v>
      </c>
      <c r="O59" s="17">
        <v>44446</v>
      </c>
    </row>
    <row r="60" spans="1:17" x14ac:dyDescent="0.3">
      <c r="A60" s="2" t="s">
        <v>136</v>
      </c>
      <c r="B60" s="2" t="s">
        <v>137</v>
      </c>
      <c r="C60" s="2" t="s">
        <v>32</v>
      </c>
      <c r="D60" s="2" t="s">
        <v>19</v>
      </c>
      <c r="E60" s="2">
        <v>135000</v>
      </c>
      <c r="F60" s="4" t="s">
        <v>20</v>
      </c>
      <c r="G60" s="11" t="s">
        <v>106</v>
      </c>
      <c r="H60" s="11" t="s">
        <v>35</v>
      </c>
      <c r="I60" s="2">
        <v>35562</v>
      </c>
      <c r="J60" s="2">
        <v>355619</v>
      </c>
      <c r="L60" s="17" t="s">
        <v>146</v>
      </c>
      <c r="M60" s="17" t="str" cm="1">
        <f t="array" ref="M60:O60">VLOOKUP(L60,A5:J397,{2,5,10},FALSE)</f>
        <v>Personal Care Assissstant</v>
      </c>
      <c r="N60" s="17">
        <v>25000</v>
      </c>
      <c r="O60" s="17">
        <v>12299</v>
      </c>
    </row>
    <row r="61" spans="1:17" x14ac:dyDescent="0.3">
      <c r="A61" s="2" t="s">
        <v>138</v>
      </c>
      <c r="B61" s="2" t="s">
        <v>12</v>
      </c>
      <c r="C61" s="2" t="s">
        <v>13</v>
      </c>
      <c r="D61" s="2" t="s">
        <v>19</v>
      </c>
      <c r="E61" s="2">
        <v>52800</v>
      </c>
      <c r="F61" s="4" t="s">
        <v>15</v>
      </c>
      <c r="G61" s="11" t="s">
        <v>28</v>
      </c>
      <c r="H61" s="11" t="s">
        <v>29</v>
      </c>
      <c r="I61" s="2">
        <v>21029</v>
      </c>
      <c r="J61" s="2">
        <v>105146</v>
      </c>
      <c r="L61" s="17" t="s">
        <v>409</v>
      </c>
      <c r="M61" s="17" t="str" cm="1">
        <f t="array" ref="M61:O61">VLOOKUP(L61,A6:J398,{2,5,10},FALSE)</f>
        <v>Senior Director Of Strategy And Planning</v>
      </c>
      <c r="N61" s="17">
        <v>150000</v>
      </c>
      <c r="O61" s="17">
        <v>20374</v>
      </c>
    </row>
    <row r="62" spans="1:17" x14ac:dyDescent="0.3">
      <c r="A62" s="2" t="s">
        <v>139</v>
      </c>
      <c r="B62" s="2" t="s">
        <v>140</v>
      </c>
      <c r="C62" s="2" t="s">
        <v>32</v>
      </c>
      <c r="D62" s="2" t="s">
        <v>19</v>
      </c>
      <c r="E62" s="2">
        <v>86000</v>
      </c>
      <c r="F62" s="4" t="s">
        <v>22</v>
      </c>
      <c r="G62" s="11" t="s">
        <v>106</v>
      </c>
      <c r="H62" s="11" t="s">
        <v>35</v>
      </c>
      <c r="I62" s="2">
        <v>19868</v>
      </c>
      <c r="J62" s="2">
        <v>298017</v>
      </c>
      <c r="L62" s="17" t="s">
        <v>712</v>
      </c>
      <c r="M62" s="17" t="str" cm="1">
        <f t="array" ref="M62:O62">VLOOKUP(L62,A7:J399,{2,5,10},FALSE)</f>
        <v>Field Supervisor</v>
      </c>
      <c r="N62" s="17">
        <v>39000</v>
      </c>
      <c r="O62" s="17">
        <v>22971</v>
      </c>
    </row>
    <row r="63" spans="1:17" x14ac:dyDescent="0.3">
      <c r="A63" s="2" t="s">
        <v>141</v>
      </c>
      <c r="B63" s="2" t="s">
        <v>142</v>
      </c>
      <c r="C63" s="2" t="s">
        <v>32</v>
      </c>
      <c r="D63" s="2" t="s">
        <v>14</v>
      </c>
      <c r="E63" s="2">
        <v>90000</v>
      </c>
      <c r="F63" s="4" t="s">
        <v>15</v>
      </c>
      <c r="G63" s="11" t="s">
        <v>106</v>
      </c>
      <c r="H63" s="11" t="s">
        <v>35</v>
      </c>
      <c r="I63" s="2">
        <v>11132</v>
      </c>
      <c r="J63" s="2">
        <v>144718</v>
      </c>
    </row>
    <row r="64" spans="1:17" x14ac:dyDescent="0.3">
      <c r="A64" s="2" t="s">
        <v>143</v>
      </c>
      <c r="B64" s="2" t="s">
        <v>120</v>
      </c>
      <c r="C64" s="2" t="s">
        <v>32</v>
      </c>
      <c r="D64" s="2" t="s">
        <v>19</v>
      </c>
      <c r="E64" s="2">
        <v>96000</v>
      </c>
      <c r="F64" s="4" t="s">
        <v>20</v>
      </c>
      <c r="G64" s="11" t="s">
        <v>106</v>
      </c>
      <c r="H64" s="11" t="s">
        <v>35</v>
      </c>
      <c r="I64" s="2">
        <v>54834</v>
      </c>
      <c r="J64" s="2">
        <v>383838</v>
      </c>
    </row>
    <row r="65" spans="1:10" x14ac:dyDescent="0.3">
      <c r="A65" s="2" t="s">
        <v>144</v>
      </c>
      <c r="B65" s="2" t="s">
        <v>145</v>
      </c>
      <c r="C65" s="2" t="s">
        <v>32</v>
      </c>
      <c r="D65" s="2" t="s">
        <v>14</v>
      </c>
      <c r="E65" s="2">
        <v>54000</v>
      </c>
      <c r="F65" s="4" t="s">
        <v>22</v>
      </c>
      <c r="G65" s="11" t="s">
        <v>106</v>
      </c>
      <c r="H65" s="11" t="s">
        <v>35</v>
      </c>
      <c r="I65" s="2">
        <v>4347</v>
      </c>
      <c r="J65" s="2">
        <v>39119</v>
      </c>
    </row>
    <row r="66" spans="1:10" x14ac:dyDescent="0.3">
      <c r="A66" s="2" t="s">
        <v>146</v>
      </c>
      <c r="B66" s="2" t="s">
        <v>147</v>
      </c>
      <c r="C66" s="2" t="s">
        <v>32</v>
      </c>
      <c r="D66" s="2" t="s">
        <v>14</v>
      </c>
      <c r="E66" s="2">
        <v>25000</v>
      </c>
      <c r="F66" s="4" t="s">
        <v>20</v>
      </c>
      <c r="G66" s="11" t="s">
        <v>106</v>
      </c>
      <c r="H66" s="11" t="s">
        <v>35</v>
      </c>
      <c r="I66" s="2">
        <v>1118</v>
      </c>
      <c r="J66" s="2">
        <v>12299</v>
      </c>
    </row>
    <row r="67" spans="1:10" x14ac:dyDescent="0.3">
      <c r="A67" s="2" t="s">
        <v>148</v>
      </c>
      <c r="B67" s="2" t="s">
        <v>92</v>
      </c>
      <c r="C67" s="2" t="s">
        <v>32</v>
      </c>
      <c r="D67" s="2" t="s">
        <v>19</v>
      </c>
      <c r="E67" s="2">
        <v>90000</v>
      </c>
      <c r="F67" s="4" t="s">
        <v>20</v>
      </c>
      <c r="G67" s="11" t="s">
        <v>106</v>
      </c>
      <c r="H67" s="11" t="s">
        <v>35</v>
      </c>
      <c r="I67" s="2">
        <v>2707</v>
      </c>
      <c r="J67" s="2">
        <v>21652</v>
      </c>
    </row>
    <row r="68" spans="1:10" x14ac:dyDescent="0.3">
      <c r="A68" s="2" t="s">
        <v>149</v>
      </c>
      <c r="B68" s="2" t="s">
        <v>150</v>
      </c>
      <c r="C68" s="2" t="s">
        <v>32</v>
      </c>
      <c r="D68" s="2" t="s">
        <v>19</v>
      </c>
      <c r="E68" s="2">
        <v>118700</v>
      </c>
      <c r="F68" s="4" t="s">
        <v>22</v>
      </c>
      <c r="G68" s="11" t="s">
        <v>106</v>
      </c>
      <c r="H68" s="11" t="s">
        <v>35</v>
      </c>
      <c r="I68" s="2">
        <v>63234</v>
      </c>
      <c r="J68" s="2">
        <v>379401</v>
      </c>
    </row>
    <row r="69" spans="1:10" x14ac:dyDescent="0.3">
      <c r="A69" s="2" t="s">
        <v>151</v>
      </c>
      <c r="B69" s="2" t="s">
        <v>152</v>
      </c>
      <c r="C69" s="2" t="s">
        <v>32</v>
      </c>
      <c r="D69" s="2" t="s">
        <v>33</v>
      </c>
      <c r="E69" s="2">
        <v>60000</v>
      </c>
      <c r="F69" s="4" t="s">
        <v>20</v>
      </c>
      <c r="G69" s="11" t="s">
        <v>106</v>
      </c>
      <c r="H69" s="11" t="s">
        <v>35</v>
      </c>
      <c r="I69" s="2">
        <v>5467</v>
      </c>
      <c r="J69" s="2">
        <v>27336</v>
      </c>
    </row>
    <row r="70" spans="1:10" x14ac:dyDescent="0.3">
      <c r="A70" s="2" t="s">
        <v>153</v>
      </c>
      <c r="B70" s="2" t="s">
        <v>154</v>
      </c>
      <c r="C70" s="2" t="s">
        <v>32</v>
      </c>
      <c r="D70" s="2" t="s">
        <v>14</v>
      </c>
      <c r="E70" s="2">
        <v>68000</v>
      </c>
      <c r="F70" s="4" t="s">
        <v>22</v>
      </c>
      <c r="G70" s="11" t="s">
        <v>106</v>
      </c>
      <c r="H70" s="11" t="s">
        <v>35</v>
      </c>
      <c r="I70" s="2">
        <v>1405</v>
      </c>
      <c r="J70" s="2">
        <v>14054</v>
      </c>
    </row>
    <row r="71" spans="1:10" x14ac:dyDescent="0.3">
      <c r="A71" s="2" t="s">
        <v>155</v>
      </c>
      <c r="B71" s="2" t="s">
        <v>156</v>
      </c>
      <c r="C71" s="2" t="s">
        <v>32</v>
      </c>
      <c r="D71" s="2" t="s">
        <v>14</v>
      </c>
      <c r="E71" s="2">
        <v>82000</v>
      </c>
      <c r="F71" s="4" t="s">
        <v>20</v>
      </c>
      <c r="G71" s="11" t="s">
        <v>106</v>
      </c>
      <c r="H71" s="11" t="s">
        <v>35</v>
      </c>
      <c r="I71" s="2">
        <v>851</v>
      </c>
      <c r="J71" s="2">
        <v>10215</v>
      </c>
    </row>
    <row r="72" spans="1:10" x14ac:dyDescent="0.3">
      <c r="A72" s="2" t="s">
        <v>157</v>
      </c>
      <c r="B72" s="2" t="s">
        <v>12</v>
      </c>
      <c r="C72" s="2" t="s">
        <v>13</v>
      </c>
      <c r="D72" s="2" t="s">
        <v>33</v>
      </c>
      <c r="E72" s="2">
        <v>20000</v>
      </c>
      <c r="F72" s="4" t="s">
        <v>20</v>
      </c>
      <c r="G72" s="11" t="s">
        <v>28</v>
      </c>
      <c r="H72" s="11" t="s">
        <v>29</v>
      </c>
      <c r="I72" s="2">
        <v>1282</v>
      </c>
      <c r="J72" s="2">
        <v>16663</v>
      </c>
    </row>
    <row r="73" spans="1:10" x14ac:dyDescent="0.3">
      <c r="A73" s="2" t="s">
        <v>158</v>
      </c>
      <c r="B73" s="2" t="s">
        <v>159</v>
      </c>
      <c r="C73" s="2" t="s">
        <v>32</v>
      </c>
      <c r="D73" s="2" t="s">
        <v>14</v>
      </c>
      <c r="E73" s="2">
        <v>60000</v>
      </c>
      <c r="F73" s="4" t="s">
        <v>15</v>
      </c>
      <c r="G73" s="11" t="s">
        <v>106</v>
      </c>
      <c r="H73" s="11" t="s">
        <v>35</v>
      </c>
      <c r="I73" s="2">
        <v>3326</v>
      </c>
      <c r="J73" s="2">
        <v>23284</v>
      </c>
    </row>
    <row r="74" spans="1:10" x14ac:dyDescent="0.3">
      <c r="A74" s="2" t="s">
        <v>160</v>
      </c>
      <c r="B74" s="2" t="s">
        <v>105</v>
      </c>
      <c r="C74" s="2" t="s">
        <v>32</v>
      </c>
      <c r="D74" s="2" t="s">
        <v>33</v>
      </c>
      <c r="E74" s="2">
        <v>110000</v>
      </c>
      <c r="F74" s="4" t="s">
        <v>22</v>
      </c>
      <c r="G74" s="11" t="s">
        <v>106</v>
      </c>
      <c r="H74" s="11" t="s">
        <v>35</v>
      </c>
      <c r="I74" s="2">
        <v>1990</v>
      </c>
      <c r="J74" s="2">
        <v>15922</v>
      </c>
    </row>
    <row r="75" spans="1:10" x14ac:dyDescent="0.3">
      <c r="A75" s="2" t="s">
        <v>161</v>
      </c>
      <c r="B75" s="2" t="s">
        <v>162</v>
      </c>
      <c r="C75" s="2" t="s">
        <v>32</v>
      </c>
      <c r="D75" s="2" t="s">
        <v>14</v>
      </c>
      <c r="E75" s="2">
        <v>75500</v>
      </c>
      <c r="F75" s="4" t="s">
        <v>20</v>
      </c>
      <c r="G75" s="11" t="s">
        <v>106</v>
      </c>
      <c r="H75" s="11" t="s">
        <v>35</v>
      </c>
      <c r="I75" s="2">
        <v>22226</v>
      </c>
      <c r="J75" s="2">
        <v>355614</v>
      </c>
    </row>
    <row r="76" spans="1:10" x14ac:dyDescent="0.3">
      <c r="A76" s="2" t="s">
        <v>163</v>
      </c>
      <c r="B76" s="2" t="s">
        <v>164</v>
      </c>
      <c r="C76" s="2" t="s">
        <v>32</v>
      </c>
      <c r="D76" s="2" t="s">
        <v>33</v>
      </c>
      <c r="E76" s="2">
        <v>172000</v>
      </c>
      <c r="F76" s="4" t="s">
        <v>22</v>
      </c>
      <c r="G76" s="11" t="s">
        <v>106</v>
      </c>
      <c r="H76" s="11" t="s">
        <v>35</v>
      </c>
      <c r="I76" s="2">
        <v>54950</v>
      </c>
      <c r="J76" s="2">
        <v>549498</v>
      </c>
    </row>
    <row r="77" spans="1:10" x14ac:dyDescent="0.3">
      <c r="A77" s="2" t="s">
        <v>165</v>
      </c>
      <c r="B77" s="2" t="s">
        <v>84</v>
      </c>
      <c r="C77" s="2" t="s">
        <v>32</v>
      </c>
      <c r="D77" s="2" t="s">
        <v>19</v>
      </c>
      <c r="E77" s="2">
        <v>145000</v>
      </c>
      <c r="F77" s="4" t="s">
        <v>15</v>
      </c>
      <c r="G77" s="11" t="s">
        <v>106</v>
      </c>
      <c r="H77" s="11" t="s">
        <v>35</v>
      </c>
      <c r="I77" s="2">
        <v>17154</v>
      </c>
      <c r="J77" s="2">
        <v>308766</v>
      </c>
    </row>
    <row r="78" spans="1:10" x14ac:dyDescent="0.3">
      <c r="A78" s="2" t="s">
        <v>166</v>
      </c>
      <c r="B78" s="2" t="s">
        <v>167</v>
      </c>
      <c r="C78" s="2" t="s">
        <v>32</v>
      </c>
      <c r="D78" s="2" t="s">
        <v>14</v>
      </c>
      <c r="E78" s="2">
        <v>60000</v>
      </c>
      <c r="F78" s="4" t="s">
        <v>22</v>
      </c>
      <c r="G78" s="11" t="s">
        <v>106</v>
      </c>
      <c r="H78" s="11" t="s">
        <v>35</v>
      </c>
      <c r="I78" s="2">
        <v>1863</v>
      </c>
      <c r="J78" s="2">
        <v>18632</v>
      </c>
    </row>
    <row r="79" spans="1:10" x14ac:dyDescent="0.3">
      <c r="A79" s="2" t="s">
        <v>168</v>
      </c>
      <c r="B79" s="2" t="s">
        <v>169</v>
      </c>
      <c r="C79" s="2" t="s">
        <v>32</v>
      </c>
      <c r="D79" s="2" t="s">
        <v>14</v>
      </c>
      <c r="E79" s="2">
        <v>62000</v>
      </c>
      <c r="F79" s="4" t="s">
        <v>15</v>
      </c>
      <c r="G79" s="11" t="s">
        <v>106</v>
      </c>
      <c r="H79" s="11" t="s">
        <v>35</v>
      </c>
      <c r="I79" s="2">
        <v>1635</v>
      </c>
      <c r="J79" s="2">
        <v>6538</v>
      </c>
    </row>
    <row r="80" spans="1:10" x14ac:dyDescent="0.3">
      <c r="A80" s="2" t="s">
        <v>170</v>
      </c>
      <c r="B80" s="2" t="s">
        <v>171</v>
      </c>
      <c r="C80" s="2" t="s">
        <v>32</v>
      </c>
      <c r="D80" s="2" t="s">
        <v>19</v>
      </c>
      <c r="E80" s="2">
        <v>61602.32</v>
      </c>
      <c r="F80" s="4" t="s">
        <v>22</v>
      </c>
      <c r="G80" s="11" t="s">
        <v>106</v>
      </c>
      <c r="H80" s="11" t="s">
        <v>35</v>
      </c>
      <c r="I80" s="2">
        <v>10809</v>
      </c>
      <c r="J80" s="2">
        <v>172937</v>
      </c>
    </row>
    <row r="81" spans="1:10" x14ac:dyDescent="0.3">
      <c r="A81" s="2" t="s">
        <v>172</v>
      </c>
      <c r="B81" s="2" t="s">
        <v>173</v>
      </c>
      <c r="C81" s="2" t="s">
        <v>32</v>
      </c>
      <c r="D81" s="2" t="s">
        <v>19</v>
      </c>
      <c r="E81" s="2">
        <v>85000</v>
      </c>
      <c r="F81" s="4" t="s">
        <v>20</v>
      </c>
      <c r="G81" s="11" t="s">
        <v>106</v>
      </c>
      <c r="H81" s="11" t="s">
        <v>35</v>
      </c>
      <c r="I81" s="2">
        <v>3914</v>
      </c>
      <c r="J81" s="2">
        <v>74374</v>
      </c>
    </row>
    <row r="82" spans="1:10" x14ac:dyDescent="0.3">
      <c r="A82" s="2" t="s">
        <v>174</v>
      </c>
      <c r="B82" s="2" t="s">
        <v>175</v>
      </c>
      <c r="C82" s="2" t="s">
        <v>32</v>
      </c>
      <c r="D82" s="2" t="s">
        <v>14</v>
      </c>
      <c r="E82" s="2">
        <v>88000</v>
      </c>
      <c r="F82" s="4" t="s">
        <v>20</v>
      </c>
      <c r="G82" s="11" t="s">
        <v>106</v>
      </c>
      <c r="H82" s="11" t="s">
        <v>35</v>
      </c>
      <c r="I82" s="2">
        <v>2153</v>
      </c>
      <c r="J82" s="2">
        <v>36593</v>
      </c>
    </row>
    <row r="83" spans="1:10" x14ac:dyDescent="0.3">
      <c r="A83" s="2" t="s">
        <v>176</v>
      </c>
      <c r="B83" s="2" t="s">
        <v>12</v>
      </c>
      <c r="C83" s="2" t="s">
        <v>13</v>
      </c>
      <c r="D83" s="2" t="s">
        <v>14</v>
      </c>
      <c r="E83" s="2">
        <v>60000</v>
      </c>
      <c r="F83" s="4" t="s">
        <v>20</v>
      </c>
      <c r="G83" s="11" t="s">
        <v>28</v>
      </c>
      <c r="H83" s="11" t="s">
        <v>29</v>
      </c>
      <c r="I83" s="2">
        <v>1539</v>
      </c>
      <c r="J83" s="2">
        <v>16924</v>
      </c>
    </row>
    <row r="84" spans="1:10" x14ac:dyDescent="0.3">
      <c r="A84" s="2" t="s">
        <v>177</v>
      </c>
      <c r="B84" s="2" t="s">
        <v>178</v>
      </c>
      <c r="C84" s="2" t="s">
        <v>32</v>
      </c>
      <c r="D84" s="2" t="s">
        <v>14</v>
      </c>
      <c r="E84" s="2">
        <v>90000</v>
      </c>
      <c r="F84" s="4" t="s">
        <v>20</v>
      </c>
      <c r="G84" s="11" t="s">
        <v>106</v>
      </c>
      <c r="H84" s="11" t="s">
        <v>35</v>
      </c>
      <c r="I84" s="2">
        <v>9425</v>
      </c>
      <c r="J84" s="2">
        <v>94249</v>
      </c>
    </row>
    <row r="85" spans="1:10" x14ac:dyDescent="0.3">
      <c r="A85" s="2" t="s">
        <v>179</v>
      </c>
      <c r="B85" s="2" t="s">
        <v>180</v>
      </c>
      <c r="C85" s="2" t="s">
        <v>32</v>
      </c>
      <c r="D85" s="2" t="s">
        <v>19</v>
      </c>
      <c r="E85" s="2">
        <v>63000</v>
      </c>
      <c r="F85" s="4" t="s">
        <v>20</v>
      </c>
      <c r="G85" s="11" t="s">
        <v>106</v>
      </c>
      <c r="H85" s="11" t="s">
        <v>35</v>
      </c>
      <c r="I85" s="2">
        <v>16746</v>
      </c>
      <c r="J85" s="2">
        <v>150717</v>
      </c>
    </row>
    <row r="86" spans="1:10" x14ac:dyDescent="0.3">
      <c r="A86" s="2" t="s">
        <v>181</v>
      </c>
      <c r="B86" s="2" t="s">
        <v>182</v>
      </c>
      <c r="C86" s="2" t="s">
        <v>32</v>
      </c>
      <c r="D86" s="2" t="s">
        <v>33</v>
      </c>
      <c r="E86" s="2">
        <v>110000</v>
      </c>
      <c r="F86" s="4" t="s">
        <v>22</v>
      </c>
      <c r="G86" s="11" t="s">
        <v>106</v>
      </c>
      <c r="H86" s="11" t="s">
        <v>35</v>
      </c>
      <c r="I86" s="2">
        <v>26161</v>
      </c>
      <c r="J86" s="2">
        <v>366256</v>
      </c>
    </row>
    <row r="87" spans="1:10" x14ac:dyDescent="0.3">
      <c r="A87" s="2" t="s">
        <v>183</v>
      </c>
      <c r="B87" s="2" t="s">
        <v>184</v>
      </c>
      <c r="C87" s="2" t="s">
        <v>32</v>
      </c>
      <c r="D87" s="2" t="s">
        <v>14</v>
      </c>
      <c r="E87" s="2">
        <v>55000</v>
      </c>
      <c r="F87" s="4" t="s">
        <v>15</v>
      </c>
      <c r="G87" s="11" t="s">
        <v>185</v>
      </c>
      <c r="H87" s="11" t="s">
        <v>35</v>
      </c>
      <c r="I87" s="2">
        <v>2888</v>
      </c>
      <c r="J87" s="2">
        <v>17325</v>
      </c>
    </row>
    <row r="88" spans="1:10" x14ac:dyDescent="0.3">
      <c r="A88" s="2" t="s">
        <v>186</v>
      </c>
      <c r="B88" s="2" t="s">
        <v>187</v>
      </c>
      <c r="C88" s="2" t="s">
        <v>32</v>
      </c>
      <c r="D88" s="2" t="s">
        <v>14</v>
      </c>
      <c r="E88" s="2">
        <v>140000</v>
      </c>
      <c r="F88" s="4" t="s">
        <v>22</v>
      </c>
      <c r="G88" s="11" t="s">
        <v>185</v>
      </c>
      <c r="H88" s="11" t="s">
        <v>35</v>
      </c>
      <c r="I88" s="2">
        <v>2889</v>
      </c>
      <c r="J88" s="2">
        <v>14445</v>
      </c>
    </row>
    <row r="89" spans="1:10" x14ac:dyDescent="0.3">
      <c r="A89" s="2" t="s">
        <v>188</v>
      </c>
      <c r="B89" s="2" t="s">
        <v>189</v>
      </c>
      <c r="C89" s="2" t="s">
        <v>32</v>
      </c>
      <c r="D89" s="2" t="s">
        <v>19</v>
      </c>
      <c r="E89" s="2">
        <v>48000</v>
      </c>
      <c r="F89" s="4" t="s">
        <v>20</v>
      </c>
      <c r="G89" s="11" t="s">
        <v>185</v>
      </c>
      <c r="H89" s="11" t="s">
        <v>35</v>
      </c>
      <c r="I89" s="2">
        <v>1284</v>
      </c>
      <c r="J89" s="2">
        <v>5134</v>
      </c>
    </row>
    <row r="90" spans="1:10" x14ac:dyDescent="0.3">
      <c r="A90" s="2" t="s">
        <v>190</v>
      </c>
      <c r="B90" s="2" t="s">
        <v>191</v>
      </c>
      <c r="C90" s="2" t="s">
        <v>32</v>
      </c>
      <c r="D90" s="2" t="s">
        <v>19</v>
      </c>
      <c r="E90" s="2">
        <v>65000</v>
      </c>
      <c r="F90" s="4" t="s">
        <v>22</v>
      </c>
      <c r="G90" s="11" t="s">
        <v>185</v>
      </c>
      <c r="H90" s="11" t="s">
        <v>35</v>
      </c>
      <c r="I90" s="2">
        <v>39411</v>
      </c>
      <c r="J90" s="2">
        <v>354700</v>
      </c>
    </row>
    <row r="91" spans="1:10" x14ac:dyDescent="0.3">
      <c r="A91" s="2" t="s">
        <v>192</v>
      </c>
      <c r="B91" s="2" t="s">
        <v>193</v>
      </c>
      <c r="C91" s="2" t="s">
        <v>32</v>
      </c>
      <c r="D91" s="2" t="s">
        <v>14</v>
      </c>
      <c r="E91" s="2">
        <v>55000</v>
      </c>
      <c r="F91" s="4" t="s">
        <v>20</v>
      </c>
      <c r="G91" s="11" t="s">
        <v>185</v>
      </c>
      <c r="H91" s="11" t="s">
        <v>35</v>
      </c>
      <c r="I91" s="2">
        <v>1267</v>
      </c>
      <c r="J91" s="2">
        <v>17744</v>
      </c>
    </row>
    <row r="92" spans="1:10" x14ac:dyDescent="0.3">
      <c r="A92" s="2" t="s">
        <v>194</v>
      </c>
      <c r="B92" s="2" t="s">
        <v>195</v>
      </c>
      <c r="C92" s="2" t="s">
        <v>32</v>
      </c>
      <c r="D92" s="2" t="s">
        <v>19</v>
      </c>
      <c r="E92" s="2">
        <v>200000</v>
      </c>
      <c r="F92" s="4" t="s">
        <v>22</v>
      </c>
      <c r="G92" s="11" t="s">
        <v>185</v>
      </c>
      <c r="H92" s="11" t="s">
        <v>35</v>
      </c>
      <c r="I92" s="2">
        <v>69929</v>
      </c>
      <c r="J92" s="2">
        <v>559430</v>
      </c>
    </row>
    <row r="93" spans="1:10" x14ac:dyDescent="0.3">
      <c r="A93" s="2" t="s">
        <v>196</v>
      </c>
      <c r="B93" s="2" t="s">
        <v>197</v>
      </c>
      <c r="C93" s="2" t="s">
        <v>32</v>
      </c>
      <c r="D93" s="2" t="s">
        <v>14</v>
      </c>
      <c r="E93" s="2">
        <v>40000</v>
      </c>
      <c r="F93" s="4" t="s">
        <v>22</v>
      </c>
      <c r="G93" s="11" t="s">
        <v>185</v>
      </c>
      <c r="H93" s="11" t="s">
        <v>35</v>
      </c>
      <c r="I93" s="2">
        <v>2981</v>
      </c>
      <c r="J93" s="2">
        <v>32792</v>
      </c>
    </row>
    <row r="94" spans="1:10" x14ac:dyDescent="0.3">
      <c r="A94" s="2" t="s">
        <v>198</v>
      </c>
      <c r="B94" s="2" t="s">
        <v>12</v>
      </c>
      <c r="C94" s="2" t="s">
        <v>13</v>
      </c>
      <c r="D94" s="2" t="s">
        <v>33</v>
      </c>
      <c r="E94" s="2">
        <v>40000</v>
      </c>
      <c r="F94" s="4" t="s">
        <v>22</v>
      </c>
      <c r="G94" s="11" t="s">
        <v>28</v>
      </c>
      <c r="H94" s="11" t="s">
        <v>29</v>
      </c>
      <c r="I94" s="2">
        <v>859</v>
      </c>
      <c r="J94" s="2">
        <v>7733</v>
      </c>
    </row>
    <row r="95" spans="1:10" x14ac:dyDescent="0.3">
      <c r="A95" s="2" t="s">
        <v>199</v>
      </c>
      <c r="B95" s="2" t="s">
        <v>200</v>
      </c>
      <c r="C95" s="2" t="s">
        <v>32</v>
      </c>
      <c r="D95" s="2" t="s">
        <v>14</v>
      </c>
      <c r="E95" s="2">
        <v>45000</v>
      </c>
      <c r="F95" s="4" t="s">
        <v>22</v>
      </c>
      <c r="G95" s="11" t="s">
        <v>185</v>
      </c>
      <c r="H95" s="11" t="s">
        <v>35</v>
      </c>
      <c r="I95" s="2">
        <v>2167</v>
      </c>
      <c r="J95" s="2">
        <v>28167</v>
      </c>
    </row>
    <row r="96" spans="1:10" x14ac:dyDescent="0.3">
      <c r="A96" s="2" t="s">
        <v>201</v>
      </c>
      <c r="B96" s="2" t="s">
        <v>202</v>
      </c>
      <c r="C96" s="2" t="s">
        <v>32</v>
      </c>
      <c r="D96" s="2" t="s">
        <v>14</v>
      </c>
      <c r="E96" s="2">
        <v>45000</v>
      </c>
      <c r="F96" s="4" t="s">
        <v>15</v>
      </c>
      <c r="G96" s="11" t="s">
        <v>185</v>
      </c>
      <c r="H96" s="11" t="s">
        <v>35</v>
      </c>
      <c r="I96" s="2">
        <v>5134</v>
      </c>
      <c r="J96" s="2">
        <v>30802</v>
      </c>
    </row>
    <row r="97" spans="1:10" x14ac:dyDescent="0.3">
      <c r="A97" s="2" t="s">
        <v>203</v>
      </c>
      <c r="B97" s="2" t="s">
        <v>204</v>
      </c>
      <c r="C97" s="2" t="s">
        <v>32</v>
      </c>
      <c r="D97" s="2" t="s">
        <v>14</v>
      </c>
      <c r="E97" s="2">
        <v>150000</v>
      </c>
      <c r="F97" s="4" t="s">
        <v>22</v>
      </c>
      <c r="G97" s="11" t="s">
        <v>185</v>
      </c>
      <c r="H97" s="11" t="s">
        <v>35</v>
      </c>
      <c r="I97" s="2">
        <v>5048</v>
      </c>
      <c r="J97" s="2">
        <v>25241</v>
      </c>
    </row>
    <row r="98" spans="1:10" x14ac:dyDescent="0.3">
      <c r="A98" s="2" t="s">
        <v>205</v>
      </c>
      <c r="B98" s="2" t="s">
        <v>206</v>
      </c>
      <c r="C98" s="2" t="s">
        <v>32</v>
      </c>
      <c r="D98" s="2" t="s">
        <v>19</v>
      </c>
      <c r="E98" s="2">
        <v>310750</v>
      </c>
      <c r="F98" s="4" t="s">
        <v>22</v>
      </c>
      <c r="G98" s="11" t="s">
        <v>185</v>
      </c>
      <c r="H98" s="11" t="s">
        <v>35</v>
      </c>
      <c r="I98" s="2">
        <v>49073</v>
      </c>
      <c r="J98" s="2">
        <v>343514</v>
      </c>
    </row>
    <row r="99" spans="1:10" x14ac:dyDescent="0.3">
      <c r="A99" s="2" t="s">
        <v>207</v>
      </c>
      <c r="B99" s="2" t="s">
        <v>208</v>
      </c>
      <c r="C99" s="2" t="s">
        <v>32</v>
      </c>
      <c r="D99" s="2" t="s">
        <v>14</v>
      </c>
      <c r="E99" s="2">
        <v>110000</v>
      </c>
      <c r="F99" s="4" t="s">
        <v>20</v>
      </c>
      <c r="G99" s="11" t="s">
        <v>185</v>
      </c>
      <c r="H99" s="11" t="s">
        <v>35</v>
      </c>
      <c r="I99" s="2">
        <v>6774</v>
      </c>
      <c r="J99" s="2">
        <v>101603</v>
      </c>
    </row>
    <row r="100" spans="1:10" x14ac:dyDescent="0.3">
      <c r="A100" s="2" t="s">
        <v>209</v>
      </c>
      <c r="B100" s="2" t="s">
        <v>120</v>
      </c>
      <c r="C100" s="2" t="s">
        <v>32</v>
      </c>
      <c r="D100" s="2" t="s">
        <v>19</v>
      </c>
      <c r="E100" s="2">
        <v>55000</v>
      </c>
      <c r="F100" s="4" t="s">
        <v>22</v>
      </c>
      <c r="G100" s="11" t="s">
        <v>185</v>
      </c>
      <c r="H100" s="11" t="s">
        <v>35</v>
      </c>
      <c r="I100" s="2">
        <v>6432</v>
      </c>
      <c r="J100" s="2">
        <v>45026</v>
      </c>
    </row>
    <row r="101" spans="1:10" x14ac:dyDescent="0.3">
      <c r="A101" s="2" t="s">
        <v>210</v>
      </c>
      <c r="B101" s="2" t="s">
        <v>164</v>
      </c>
      <c r="C101" s="2" t="s">
        <v>32</v>
      </c>
      <c r="D101" s="2" t="s">
        <v>33</v>
      </c>
      <c r="E101" s="2">
        <v>250000</v>
      </c>
      <c r="F101" s="4" t="s">
        <v>22</v>
      </c>
      <c r="G101" s="11" t="s">
        <v>185</v>
      </c>
      <c r="H101" s="11" t="s">
        <v>35</v>
      </c>
      <c r="I101" s="2">
        <v>42203</v>
      </c>
      <c r="J101" s="2">
        <v>675242</v>
      </c>
    </row>
    <row r="102" spans="1:10" x14ac:dyDescent="0.3">
      <c r="A102" s="2" t="s">
        <v>211</v>
      </c>
      <c r="B102" s="2" t="s">
        <v>212</v>
      </c>
      <c r="C102" s="2" t="s">
        <v>32</v>
      </c>
      <c r="D102" s="2" t="s">
        <v>19</v>
      </c>
      <c r="E102" s="2">
        <v>210000</v>
      </c>
      <c r="F102" s="4" t="s">
        <v>22</v>
      </c>
      <c r="G102" s="11" t="s">
        <v>213</v>
      </c>
      <c r="H102" s="11" t="s">
        <v>35</v>
      </c>
      <c r="I102" s="2">
        <v>26793</v>
      </c>
      <c r="J102" s="2">
        <v>214342</v>
      </c>
    </row>
    <row r="103" spans="1:10" x14ac:dyDescent="0.3">
      <c r="A103" s="2" t="s">
        <v>214</v>
      </c>
      <c r="B103" s="2" t="s">
        <v>215</v>
      </c>
      <c r="C103" s="2" t="s">
        <v>32</v>
      </c>
      <c r="D103" s="2" t="s">
        <v>14</v>
      </c>
      <c r="E103" s="2">
        <v>250000</v>
      </c>
      <c r="F103" s="4" t="s">
        <v>22</v>
      </c>
      <c r="G103" s="11" t="s">
        <v>213</v>
      </c>
      <c r="H103" s="11" t="s">
        <v>35</v>
      </c>
      <c r="I103" s="2">
        <v>6347</v>
      </c>
      <c r="J103" s="2">
        <v>38081</v>
      </c>
    </row>
    <row r="104" spans="1:10" x14ac:dyDescent="0.3">
      <c r="A104" s="2" t="s">
        <v>216</v>
      </c>
      <c r="B104" s="2" t="s">
        <v>217</v>
      </c>
      <c r="C104" s="2" t="s">
        <v>32</v>
      </c>
      <c r="D104" s="2" t="s">
        <v>14</v>
      </c>
      <c r="E104" s="2">
        <v>75000</v>
      </c>
      <c r="F104" s="4" t="s">
        <v>15</v>
      </c>
      <c r="G104" s="11" t="s">
        <v>213</v>
      </c>
      <c r="H104" s="11" t="s">
        <v>35</v>
      </c>
      <c r="I104" s="2">
        <v>1641</v>
      </c>
      <c r="J104" s="2">
        <v>26249</v>
      </c>
    </row>
    <row r="105" spans="1:10" x14ac:dyDescent="0.3">
      <c r="A105" s="2" t="s">
        <v>218</v>
      </c>
      <c r="B105" s="2" t="s">
        <v>12</v>
      </c>
      <c r="C105" s="2" t="s">
        <v>13</v>
      </c>
      <c r="D105" s="2" t="s">
        <v>19</v>
      </c>
      <c r="E105" s="2">
        <v>16000</v>
      </c>
      <c r="F105" s="4" t="s">
        <v>15</v>
      </c>
      <c r="G105" s="11" t="s">
        <v>28</v>
      </c>
      <c r="H105" s="11" t="s">
        <v>29</v>
      </c>
      <c r="I105" s="2">
        <v>23528</v>
      </c>
      <c r="J105" s="2">
        <v>235278</v>
      </c>
    </row>
    <row r="106" spans="1:10" x14ac:dyDescent="0.3">
      <c r="A106" s="2" t="s">
        <v>219</v>
      </c>
      <c r="B106" s="2" t="s">
        <v>220</v>
      </c>
      <c r="C106" s="2" t="s">
        <v>32</v>
      </c>
      <c r="D106" s="2" t="s">
        <v>14</v>
      </c>
      <c r="E106" s="2">
        <v>82000</v>
      </c>
      <c r="F106" s="4" t="s">
        <v>22</v>
      </c>
      <c r="G106" s="11" t="s">
        <v>213</v>
      </c>
      <c r="H106" s="11" t="s">
        <v>35</v>
      </c>
      <c r="I106" s="2">
        <v>8055</v>
      </c>
      <c r="J106" s="2">
        <v>48329</v>
      </c>
    </row>
    <row r="107" spans="1:10" x14ac:dyDescent="0.3">
      <c r="A107" s="2" t="s">
        <v>221</v>
      </c>
      <c r="B107" s="2" t="s">
        <v>222</v>
      </c>
      <c r="C107" s="2" t="s">
        <v>32</v>
      </c>
      <c r="D107" s="2" t="s">
        <v>14</v>
      </c>
      <c r="E107" s="2">
        <v>65000</v>
      </c>
      <c r="F107" s="4" t="s">
        <v>22</v>
      </c>
      <c r="G107" s="11" t="s">
        <v>213</v>
      </c>
      <c r="H107" s="11" t="s">
        <v>35</v>
      </c>
      <c r="I107" s="2">
        <v>4814</v>
      </c>
      <c r="J107" s="2">
        <v>43330</v>
      </c>
    </row>
    <row r="108" spans="1:10" x14ac:dyDescent="0.3">
      <c r="A108" s="2" t="s">
        <v>223</v>
      </c>
      <c r="B108" s="2" t="s">
        <v>224</v>
      </c>
      <c r="C108" s="2" t="s">
        <v>32</v>
      </c>
      <c r="D108" s="2" t="s">
        <v>14</v>
      </c>
      <c r="E108" s="2">
        <v>65000</v>
      </c>
      <c r="F108" s="4" t="s">
        <v>22</v>
      </c>
      <c r="G108" s="11" t="s">
        <v>213</v>
      </c>
      <c r="H108" s="11" t="s">
        <v>35</v>
      </c>
      <c r="I108" s="2">
        <v>1986</v>
      </c>
      <c r="J108" s="2">
        <v>19860</v>
      </c>
    </row>
    <row r="109" spans="1:10" x14ac:dyDescent="0.3">
      <c r="A109" s="2" t="s">
        <v>225</v>
      </c>
      <c r="B109" s="2" t="s">
        <v>226</v>
      </c>
      <c r="C109" s="2" t="s">
        <v>32</v>
      </c>
      <c r="D109" s="2" t="s">
        <v>14</v>
      </c>
      <c r="E109" s="2">
        <v>68000</v>
      </c>
      <c r="F109" s="4" t="s">
        <v>22</v>
      </c>
      <c r="G109" s="11" t="s">
        <v>213</v>
      </c>
      <c r="H109" s="11" t="s">
        <v>35</v>
      </c>
      <c r="I109" s="2">
        <v>3979</v>
      </c>
      <c r="J109" s="2">
        <v>23872</v>
      </c>
    </row>
    <row r="110" spans="1:10" x14ac:dyDescent="0.3">
      <c r="A110" s="2" t="s">
        <v>227</v>
      </c>
      <c r="B110" s="2" t="s">
        <v>228</v>
      </c>
      <c r="C110" s="2" t="s">
        <v>32</v>
      </c>
      <c r="D110" s="2" t="s">
        <v>33</v>
      </c>
      <c r="E110" s="2">
        <v>100000</v>
      </c>
      <c r="F110" s="4" t="s">
        <v>22</v>
      </c>
      <c r="G110" s="11" t="s">
        <v>213</v>
      </c>
      <c r="H110" s="11" t="s">
        <v>35</v>
      </c>
      <c r="I110" s="2">
        <v>2071</v>
      </c>
      <c r="J110" s="2">
        <v>16566</v>
      </c>
    </row>
    <row r="111" spans="1:10" x14ac:dyDescent="0.3">
      <c r="A111" s="2" t="s">
        <v>229</v>
      </c>
      <c r="B111" s="2" t="s">
        <v>230</v>
      </c>
      <c r="C111" s="2" t="s">
        <v>32</v>
      </c>
      <c r="D111" s="2" t="s">
        <v>14</v>
      </c>
      <c r="E111" s="2">
        <v>28000</v>
      </c>
      <c r="F111" s="4" t="s">
        <v>22</v>
      </c>
      <c r="G111" s="11" t="s">
        <v>213</v>
      </c>
      <c r="H111" s="11" t="s">
        <v>35</v>
      </c>
      <c r="I111" s="2">
        <v>3334</v>
      </c>
      <c r="J111" s="2">
        <v>23340</v>
      </c>
    </row>
    <row r="112" spans="1:10" x14ac:dyDescent="0.3">
      <c r="A112" s="2" t="s">
        <v>231</v>
      </c>
      <c r="B112" s="2" t="s">
        <v>232</v>
      </c>
      <c r="C112" s="2" t="s">
        <v>32</v>
      </c>
      <c r="D112" s="2" t="s">
        <v>14</v>
      </c>
      <c r="E112" s="2">
        <v>170000</v>
      </c>
      <c r="F112" s="4" t="s">
        <v>22</v>
      </c>
      <c r="G112" s="11" t="s">
        <v>213</v>
      </c>
      <c r="H112" s="11" t="s">
        <v>35</v>
      </c>
      <c r="I112" s="2">
        <v>3948</v>
      </c>
      <c r="J112" s="2">
        <v>43428</v>
      </c>
    </row>
    <row r="113" spans="1:10" x14ac:dyDescent="0.3">
      <c r="A113" s="2" t="s">
        <v>233</v>
      </c>
      <c r="B113" s="2" t="s">
        <v>234</v>
      </c>
      <c r="C113" s="2" t="s">
        <v>32</v>
      </c>
      <c r="D113" s="2" t="s">
        <v>14</v>
      </c>
      <c r="E113" s="2">
        <v>49377</v>
      </c>
      <c r="F113" s="4" t="s">
        <v>22</v>
      </c>
      <c r="G113" s="11" t="s">
        <v>213</v>
      </c>
      <c r="H113" s="11" t="s">
        <v>35</v>
      </c>
      <c r="I113" s="2">
        <v>785</v>
      </c>
      <c r="J113" s="2">
        <v>8634</v>
      </c>
    </row>
    <row r="114" spans="1:10" x14ac:dyDescent="0.3">
      <c r="A114" s="2" t="s">
        <v>235</v>
      </c>
      <c r="B114" s="2" t="s">
        <v>236</v>
      </c>
      <c r="C114" s="2" t="s">
        <v>32</v>
      </c>
      <c r="D114" s="2" t="s">
        <v>19</v>
      </c>
      <c r="E114" s="2">
        <v>200000</v>
      </c>
      <c r="F114" s="4" t="s">
        <v>22</v>
      </c>
      <c r="G114" s="11" t="s">
        <v>213</v>
      </c>
      <c r="H114" s="11" t="s">
        <v>35</v>
      </c>
      <c r="I114" s="2">
        <v>25022</v>
      </c>
      <c r="J114" s="2">
        <v>225198</v>
      </c>
    </row>
    <row r="115" spans="1:10" x14ac:dyDescent="0.3">
      <c r="A115" s="2" t="s">
        <v>237</v>
      </c>
      <c r="B115" s="2" t="s">
        <v>238</v>
      </c>
      <c r="C115" s="2" t="s">
        <v>32</v>
      </c>
      <c r="D115" s="2" t="s">
        <v>14</v>
      </c>
      <c r="E115" s="2">
        <v>50000</v>
      </c>
      <c r="F115" s="4" t="s">
        <v>20</v>
      </c>
      <c r="G115" s="11" t="s">
        <v>213</v>
      </c>
      <c r="H115" s="11" t="s">
        <v>35</v>
      </c>
      <c r="I115" s="2">
        <v>2061</v>
      </c>
      <c r="J115" s="2">
        <v>14429</v>
      </c>
    </row>
    <row r="116" spans="1:10" x14ac:dyDescent="0.3">
      <c r="A116" s="2" t="s">
        <v>239</v>
      </c>
      <c r="B116" s="2" t="s">
        <v>12</v>
      </c>
      <c r="C116" s="2" t="s">
        <v>13</v>
      </c>
      <c r="D116" s="2" t="s">
        <v>33</v>
      </c>
      <c r="E116" s="2">
        <v>45000</v>
      </c>
      <c r="F116" s="4" t="s">
        <v>22</v>
      </c>
      <c r="G116" s="11" t="s">
        <v>25</v>
      </c>
      <c r="H116" s="11" t="s">
        <v>26</v>
      </c>
      <c r="I116" s="2">
        <v>24809</v>
      </c>
      <c r="J116" s="2">
        <v>248087</v>
      </c>
    </row>
    <row r="117" spans="1:10" x14ac:dyDescent="0.3">
      <c r="A117" s="2" t="s">
        <v>240</v>
      </c>
      <c r="B117" s="2" t="s">
        <v>12</v>
      </c>
      <c r="C117" s="2" t="s">
        <v>13</v>
      </c>
      <c r="D117" s="2" t="s">
        <v>19</v>
      </c>
      <c r="E117" s="2">
        <v>50000</v>
      </c>
      <c r="F117" s="4" t="s">
        <v>20</v>
      </c>
      <c r="G117" s="11" t="s">
        <v>28</v>
      </c>
      <c r="H117" s="11" t="s">
        <v>29</v>
      </c>
      <c r="I117" s="2">
        <v>4892</v>
      </c>
      <c r="J117" s="2">
        <v>48923</v>
      </c>
    </row>
    <row r="118" spans="1:10" x14ac:dyDescent="0.3">
      <c r="A118" s="2" t="s">
        <v>241</v>
      </c>
      <c r="B118" s="2" t="s">
        <v>105</v>
      </c>
      <c r="C118" s="2" t="s">
        <v>32</v>
      </c>
      <c r="D118" s="2" t="s">
        <v>14</v>
      </c>
      <c r="E118" s="2">
        <v>64000</v>
      </c>
      <c r="F118" s="4" t="s">
        <v>22</v>
      </c>
      <c r="G118" s="11" t="s">
        <v>213</v>
      </c>
      <c r="H118" s="11" t="s">
        <v>35</v>
      </c>
      <c r="I118" s="2">
        <v>1469</v>
      </c>
      <c r="J118" s="2">
        <v>14692</v>
      </c>
    </row>
    <row r="119" spans="1:10" x14ac:dyDescent="0.3">
      <c r="A119" s="2" t="s">
        <v>242</v>
      </c>
      <c r="B119" s="2" t="s">
        <v>243</v>
      </c>
      <c r="C119" s="2" t="s">
        <v>32</v>
      </c>
      <c r="D119" s="2" t="s">
        <v>14</v>
      </c>
      <c r="E119" s="2">
        <v>85340</v>
      </c>
      <c r="F119" s="4" t="s">
        <v>15</v>
      </c>
      <c r="G119" s="11" t="s">
        <v>213</v>
      </c>
      <c r="H119" s="11" t="s">
        <v>35</v>
      </c>
      <c r="I119" s="2">
        <v>10592</v>
      </c>
      <c r="J119" s="2">
        <v>42366</v>
      </c>
    </row>
    <row r="120" spans="1:10" x14ac:dyDescent="0.3">
      <c r="A120" s="2" t="s">
        <v>244</v>
      </c>
      <c r="B120" s="2" t="s">
        <v>245</v>
      </c>
      <c r="C120" s="2" t="s">
        <v>32</v>
      </c>
      <c r="D120" s="2" t="s">
        <v>14</v>
      </c>
      <c r="E120" s="2">
        <v>90000</v>
      </c>
      <c r="F120" s="4" t="s">
        <v>22</v>
      </c>
      <c r="G120" s="11" t="s">
        <v>213</v>
      </c>
      <c r="H120" s="11" t="s">
        <v>35</v>
      </c>
      <c r="I120" s="2">
        <v>3777</v>
      </c>
      <c r="J120" s="2">
        <v>30213</v>
      </c>
    </row>
    <row r="121" spans="1:10" x14ac:dyDescent="0.3">
      <c r="A121" s="2" t="s">
        <v>246</v>
      </c>
      <c r="B121" s="2" t="s">
        <v>247</v>
      </c>
      <c r="C121" s="2" t="s">
        <v>32</v>
      </c>
      <c r="D121" s="2" t="s">
        <v>14</v>
      </c>
      <c r="E121" s="2">
        <v>56000</v>
      </c>
      <c r="F121" s="4" t="s">
        <v>20</v>
      </c>
      <c r="G121" s="11" t="s">
        <v>213</v>
      </c>
      <c r="H121" s="11" t="s">
        <v>35</v>
      </c>
      <c r="I121" s="2">
        <v>1946</v>
      </c>
      <c r="J121" s="2">
        <v>21410</v>
      </c>
    </row>
    <row r="122" spans="1:10" x14ac:dyDescent="0.3">
      <c r="A122" s="2" t="s">
        <v>248</v>
      </c>
      <c r="B122" s="2" t="s">
        <v>249</v>
      </c>
      <c r="C122" s="2" t="s">
        <v>32</v>
      </c>
      <c r="D122" s="2" t="s">
        <v>14</v>
      </c>
      <c r="E122" s="2">
        <v>56000</v>
      </c>
      <c r="F122" s="4" t="s">
        <v>22</v>
      </c>
      <c r="G122" s="11" t="s">
        <v>213</v>
      </c>
      <c r="H122" s="11" t="s">
        <v>35</v>
      </c>
      <c r="I122" s="2">
        <v>489</v>
      </c>
      <c r="J122" s="2">
        <v>3914</v>
      </c>
    </row>
    <row r="123" spans="1:10" x14ac:dyDescent="0.3">
      <c r="A123" s="2" t="s">
        <v>250</v>
      </c>
      <c r="B123" s="2" t="s">
        <v>217</v>
      </c>
      <c r="C123" s="2" t="s">
        <v>32</v>
      </c>
      <c r="D123" s="2" t="s">
        <v>14</v>
      </c>
      <c r="E123" s="2">
        <v>81414</v>
      </c>
      <c r="F123" s="4" t="s">
        <v>15</v>
      </c>
      <c r="G123" s="11" t="s">
        <v>213</v>
      </c>
      <c r="H123" s="11" t="s">
        <v>35</v>
      </c>
      <c r="I123" s="2">
        <v>17689</v>
      </c>
      <c r="J123" s="2">
        <v>176887</v>
      </c>
    </row>
    <row r="124" spans="1:10" x14ac:dyDescent="0.3">
      <c r="A124" s="2" t="s">
        <v>251</v>
      </c>
      <c r="B124" s="2" t="s">
        <v>252</v>
      </c>
      <c r="C124" s="2" t="s">
        <v>32</v>
      </c>
      <c r="D124" s="2" t="s">
        <v>14</v>
      </c>
      <c r="E124" s="2">
        <v>85000</v>
      </c>
      <c r="F124" s="4" t="s">
        <v>22</v>
      </c>
      <c r="G124" s="11" t="s">
        <v>213</v>
      </c>
      <c r="H124" s="11" t="s">
        <v>35</v>
      </c>
      <c r="I124" s="2">
        <v>2558</v>
      </c>
      <c r="J124" s="2">
        <v>69061</v>
      </c>
    </row>
    <row r="125" spans="1:10" x14ac:dyDescent="0.3">
      <c r="A125" s="2" t="s">
        <v>253</v>
      </c>
      <c r="B125" s="2" t="s">
        <v>105</v>
      </c>
      <c r="C125" s="2" t="s">
        <v>32</v>
      </c>
      <c r="D125" s="2" t="s">
        <v>19</v>
      </c>
      <c r="E125" s="2">
        <v>65000</v>
      </c>
      <c r="F125" s="4" t="s">
        <v>22</v>
      </c>
      <c r="G125" s="11" t="s">
        <v>213</v>
      </c>
      <c r="H125" s="11" t="s">
        <v>35</v>
      </c>
      <c r="I125" s="2">
        <v>906</v>
      </c>
      <c r="J125" s="2">
        <v>11780</v>
      </c>
    </row>
    <row r="126" spans="1:10" x14ac:dyDescent="0.3">
      <c r="A126" s="2" t="s">
        <v>254</v>
      </c>
      <c r="B126" s="2" t="s">
        <v>255</v>
      </c>
      <c r="C126" s="2" t="s">
        <v>32</v>
      </c>
      <c r="D126" s="2" t="s">
        <v>14</v>
      </c>
      <c r="E126" s="2">
        <v>85000</v>
      </c>
      <c r="F126" s="4" t="s">
        <v>22</v>
      </c>
      <c r="G126" s="11" t="s">
        <v>213</v>
      </c>
      <c r="H126" s="11" t="s">
        <v>35</v>
      </c>
      <c r="I126" s="2">
        <v>6493</v>
      </c>
      <c r="J126" s="2">
        <v>64932</v>
      </c>
    </row>
    <row r="127" spans="1:10" x14ac:dyDescent="0.3">
      <c r="A127" s="2" t="s">
        <v>256</v>
      </c>
      <c r="B127" s="2" t="s">
        <v>257</v>
      </c>
      <c r="C127" s="2" t="s">
        <v>32</v>
      </c>
      <c r="D127" s="2" t="s">
        <v>14</v>
      </c>
      <c r="E127" s="2">
        <v>50000</v>
      </c>
      <c r="F127" s="4" t="s">
        <v>15</v>
      </c>
      <c r="G127" s="11" t="s">
        <v>213</v>
      </c>
      <c r="H127" s="11" t="s">
        <v>35</v>
      </c>
      <c r="I127" s="2">
        <v>6532</v>
      </c>
      <c r="J127" s="2">
        <v>52255</v>
      </c>
    </row>
    <row r="128" spans="1:10" x14ac:dyDescent="0.3">
      <c r="A128" s="2" t="s">
        <v>258</v>
      </c>
      <c r="B128" s="2" t="s">
        <v>12</v>
      </c>
      <c r="C128" s="2" t="s">
        <v>13</v>
      </c>
      <c r="D128" s="2" t="s">
        <v>19</v>
      </c>
      <c r="E128" s="2">
        <v>120000</v>
      </c>
      <c r="F128" s="4" t="s">
        <v>15</v>
      </c>
      <c r="G128" s="11" t="s">
        <v>28</v>
      </c>
      <c r="H128" s="11" t="s">
        <v>29</v>
      </c>
      <c r="I128" s="2">
        <v>12090</v>
      </c>
      <c r="J128" s="2">
        <v>169257</v>
      </c>
    </row>
    <row r="129" spans="1:10" x14ac:dyDescent="0.3">
      <c r="A129" s="2" t="s">
        <v>259</v>
      </c>
      <c r="B129" s="2" t="s">
        <v>260</v>
      </c>
      <c r="C129" s="2" t="s">
        <v>32</v>
      </c>
      <c r="D129" s="2" t="s">
        <v>19</v>
      </c>
      <c r="E129" s="2">
        <v>80000</v>
      </c>
      <c r="F129" s="4" t="s">
        <v>20</v>
      </c>
      <c r="G129" s="11" t="s">
        <v>213</v>
      </c>
      <c r="H129" s="11" t="s">
        <v>35</v>
      </c>
      <c r="I129" s="2">
        <v>2215</v>
      </c>
      <c r="J129" s="2">
        <v>13288</v>
      </c>
    </row>
    <row r="130" spans="1:10" x14ac:dyDescent="0.3">
      <c r="A130" s="2" t="s">
        <v>261</v>
      </c>
      <c r="B130" s="2" t="s">
        <v>262</v>
      </c>
      <c r="C130" s="2" t="s">
        <v>32</v>
      </c>
      <c r="D130" s="2" t="s">
        <v>14</v>
      </c>
      <c r="E130" s="2">
        <v>85000</v>
      </c>
      <c r="F130" s="4" t="s">
        <v>22</v>
      </c>
      <c r="G130" s="11" t="s">
        <v>213</v>
      </c>
      <c r="H130" s="11" t="s">
        <v>35</v>
      </c>
      <c r="I130" s="2">
        <v>2450</v>
      </c>
      <c r="J130" s="2">
        <v>17147</v>
      </c>
    </row>
    <row r="131" spans="1:10" x14ac:dyDescent="0.3">
      <c r="A131" s="2" t="s">
        <v>263</v>
      </c>
      <c r="B131" s="2" t="s">
        <v>264</v>
      </c>
      <c r="C131" s="2" t="s">
        <v>32</v>
      </c>
      <c r="D131" s="2" t="s">
        <v>14</v>
      </c>
      <c r="E131" s="2">
        <v>34000</v>
      </c>
      <c r="F131" s="4" t="s">
        <v>22</v>
      </c>
      <c r="G131" s="11" t="s">
        <v>213</v>
      </c>
      <c r="H131" s="11" t="s">
        <v>35</v>
      </c>
      <c r="I131" s="2">
        <v>4090</v>
      </c>
      <c r="J131" s="2">
        <v>16361</v>
      </c>
    </row>
    <row r="132" spans="1:10" x14ac:dyDescent="0.3">
      <c r="A132" s="2" t="s">
        <v>265</v>
      </c>
      <c r="B132" s="2" t="s">
        <v>266</v>
      </c>
      <c r="C132" s="2" t="s">
        <v>32</v>
      </c>
      <c r="D132" s="2" t="s">
        <v>14</v>
      </c>
      <c r="E132" s="2">
        <v>60000</v>
      </c>
      <c r="F132" s="4" t="s">
        <v>20</v>
      </c>
      <c r="G132" s="11" t="s">
        <v>213</v>
      </c>
      <c r="H132" s="11" t="s">
        <v>35</v>
      </c>
      <c r="I132" s="2">
        <v>626</v>
      </c>
      <c r="J132" s="2">
        <v>3757</v>
      </c>
    </row>
    <row r="133" spans="1:10" x14ac:dyDescent="0.3">
      <c r="A133" s="2" t="s">
        <v>267</v>
      </c>
      <c r="B133" s="2" t="s">
        <v>105</v>
      </c>
      <c r="C133" s="2" t="s">
        <v>32</v>
      </c>
      <c r="D133" s="2" t="s">
        <v>14</v>
      </c>
      <c r="E133" s="2">
        <v>45000</v>
      </c>
      <c r="F133" s="4" t="s">
        <v>20</v>
      </c>
      <c r="G133" s="11" t="s">
        <v>213</v>
      </c>
      <c r="H133" s="11" t="s">
        <v>35</v>
      </c>
      <c r="I133" s="2">
        <v>820</v>
      </c>
      <c r="J133" s="2">
        <v>8202</v>
      </c>
    </row>
    <row r="134" spans="1:10" x14ac:dyDescent="0.3">
      <c r="A134" s="2" t="s">
        <v>268</v>
      </c>
      <c r="B134" s="2" t="s">
        <v>269</v>
      </c>
      <c r="C134" s="2" t="s">
        <v>32</v>
      </c>
      <c r="D134" s="2" t="s">
        <v>14</v>
      </c>
      <c r="E134" s="2">
        <v>55000</v>
      </c>
      <c r="F134" s="4" t="s">
        <v>20</v>
      </c>
      <c r="G134" s="11" t="s">
        <v>213</v>
      </c>
      <c r="H134" s="11" t="s">
        <v>35</v>
      </c>
      <c r="I134" s="2">
        <v>4295</v>
      </c>
      <c r="J134" s="2">
        <v>21474</v>
      </c>
    </row>
    <row r="135" spans="1:10" x14ac:dyDescent="0.3">
      <c r="A135" s="2" t="s">
        <v>270</v>
      </c>
      <c r="B135" s="2" t="s">
        <v>271</v>
      </c>
      <c r="C135" s="2" t="s">
        <v>32</v>
      </c>
      <c r="D135" s="2" t="s">
        <v>14</v>
      </c>
      <c r="E135" s="2">
        <v>62000</v>
      </c>
      <c r="F135" s="4" t="s">
        <v>20</v>
      </c>
      <c r="G135" s="11" t="s">
        <v>213</v>
      </c>
      <c r="H135" s="11" t="s">
        <v>35</v>
      </c>
      <c r="I135" s="2">
        <v>3196</v>
      </c>
      <c r="J135" s="2">
        <v>54330</v>
      </c>
    </row>
    <row r="136" spans="1:10" x14ac:dyDescent="0.3">
      <c r="A136" s="2" t="s">
        <v>272</v>
      </c>
      <c r="B136" s="2" t="s">
        <v>273</v>
      </c>
      <c r="C136" s="2" t="s">
        <v>32</v>
      </c>
      <c r="D136" s="2" t="s">
        <v>14</v>
      </c>
      <c r="E136" s="2">
        <v>68000</v>
      </c>
      <c r="F136" s="4" t="s">
        <v>20</v>
      </c>
      <c r="G136" s="11" t="s">
        <v>213</v>
      </c>
      <c r="H136" s="11" t="s">
        <v>35</v>
      </c>
      <c r="I136" s="2">
        <v>3982</v>
      </c>
      <c r="J136" s="2">
        <v>35838</v>
      </c>
    </row>
    <row r="137" spans="1:10" x14ac:dyDescent="0.3">
      <c r="A137" s="2" t="s">
        <v>274</v>
      </c>
      <c r="B137" s="2" t="s">
        <v>275</v>
      </c>
      <c r="C137" s="2" t="s">
        <v>32</v>
      </c>
      <c r="D137" s="2" t="s">
        <v>14</v>
      </c>
      <c r="E137" s="2">
        <v>55000</v>
      </c>
      <c r="F137" s="4" t="s">
        <v>20</v>
      </c>
      <c r="G137" s="11" t="s">
        <v>213</v>
      </c>
      <c r="H137" s="11" t="s">
        <v>35</v>
      </c>
      <c r="I137" s="2">
        <v>667</v>
      </c>
      <c r="J137" s="2">
        <v>6667</v>
      </c>
    </row>
    <row r="138" spans="1:10" x14ac:dyDescent="0.3">
      <c r="A138" s="2" t="s">
        <v>276</v>
      </c>
      <c r="B138" s="2" t="s">
        <v>277</v>
      </c>
      <c r="C138" s="2" t="s">
        <v>32</v>
      </c>
      <c r="D138" s="2" t="s">
        <v>14</v>
      </c>
      <c r="E138" s="2">
        <v>100000</v>
      </c>
      <c r="F138" s="4" t="s">
        <v>22</v>
      </c>
      <c r="G138" s="11" t="s">
        <v>213</v>
      </c>
      <c r="H138" s="11" t="s">
        <v>35</v>
      </c>
      <c r="I138" s="2">
        <v>609</v>
      </c>
      <c r="J138" s="2">
        <v>4261</v>
      </c>
    </row>
    <row r="139" spans="1:10" x14ac:dyDescent="0.3">
      <c r="A139" s="2" t="s">
        <v>278</v>
      </c>
      <c r="B139" s="2" t="s">
        <v>12</v>
      </c>
      <c r="C139" s="2" t="s">
        <v>13</v>
      </c>
      <c r="D139" s="2" t="s">
        <v>33</v>
      </c>
      <c r="E139" s="2">
        <v>36800</v>
      </c>
      <c r="F139" s="4" t="s">
        <v>15</v>
      </c>
      <c r="G139" s="11" t="s">
        <v>28</v>
      </c>
      <c r="H139" s="11" t="s">
        <v>29</v>
      </c>
      <c r="I139" s="2">
        <v>3094</v>
      </c>
      <c r="J139" s="2">
        <v>37130</v>
      </c>
    </row>
    <row r="140" spans="1:10" x14ac:dyDescent="0.3">
      <c r="A140" s="2" t="s">
        <v>279</v>
      </c>
      <c r="B140" s="2" t="s">
        <v>280</v>
      </c>
      <c r="C140" s="2" t="s">
        <v>32</v>
      </c>
      <c r="D140" s="2" t="s">
        <v>14</v>
      </c>
      <c r="E140" s="2">
        <v>38000</v>
      </c>
      <c r="F140" s="4" t="s">
        <v>15</v>
      </c>
      <c r="G140" s="11" t="s">
        <v>213</v>
      </c>
      <c r="H140" s="11" t="s">
        <v>35</v>
      </c>
      <c r="I140" s="2">
        <v>1111</v>
      </c>
      <c r="J140" s="2">
        <v>10003</v>
      </c>
    </row>
    <row r="141" spans="1:10" x14ac:dyDescent="0.3">
      <c r="A141" s="2" t="s">
        <v>281</v>
      </c>
      <c r="B141" s="2" t="s">
        <v>282</v>
      </c>
      <c r="C141" s="2" t="s">
        <v>32</v>
      </c>
      <c r="D141" s="2" t="s">
        <v>14</v>
      </c>
      <c r="E141" s="2">
        <v>40000</v>
      </c>
      <c r="F141" s="4" t="s">
        <v>20</v>
      </c>
      <c r="G141" s="11" t="s">
        <v>213</v>
      </c>
      <c r="H141" s="11" t="s">
        <v>35</v>
      </c>
      <c r="I141" s="2">
        <v>2162</v>
      </c>
      <c r="J141" s="2">
        <v>23784</v>
      </c>
    </row>
    <row r="142" spans="1:10" x14ac:dyDescent="0.3">
      <c r="A142" s="2" t="s">
        <v>283</v>
      </c>
      <c r="B142" s="2" t="s">
        <v>284</v>
      </c>
      <c r="C142" s="2" t="s">
        <v>32</v>
      </c>
      <c r="D142" s="2" t="s">
        <v>14</v>
      </c>
      <c r="E142" s="2">
        <v>54000</v>
      </c>
      <c r="F142" s="4" t="s">
        <v>15</v>
      </c>
      <c r="G142" s="11" t="s">
        <v>213</v>
      </c>
      <c r="H142" s="11" t="s">
        <v>35</v>
      </c>
      <c r="I142" s="2">
        <v>1983</v>
      </c>
      <c r="J142" s="2">
        <v>13881</v>
      </c>
    </row>
    <row r="143" spans="1:10" x14ac:dyDescent="0.3">
      <c r="A143" s="2" t="s">
        <v>285</v>
      </c>
      <c r="B143" s="2" t="s">
        <v>286</v>
      </c>
      <c r="C143" s="2" t="s">
        <v>32</v>
      </c>
      <c r="D143" s="2" t="s">
        <v>14</v>
      </c>
      <c r="E143" s="2">
        <v>35000</v>
      </c>
      <c r="F143" s="4" t="s">
        <v>15</v>
      </c>
      <c r="G143" s="11" t="s">
        <v>213</v>
      </c>
      <c r="H143" s="11" t="s">
        <v>35</v>
      </c>
      <c r="I143" s="2">
        <v>318</v>
      </c>
      <c r="J143" s="2">
        <v>1273</v>
      </c>
    </row>
    <row r="144" spans="1:10" x14ac:dyDescent="0.3">
      <c r="A144" s="2" t="s">
        <v>287</v>
      </c>
      <c r="B144" s="2" t="s">
        <v>288</v>
      </c>
      <c r="C144" s="2" t="s">
        <v>32</v>
      </c>
      <c r="D144" s="2" t="s">
        <v>14</v>
      </c>
      <c r="E144" s="2">
        <v>65000</v>
      </c>
      <c r="F144" s="4" t="s">
        <v>22</v>
      </c>
      <c r="G144" s="11" t="s">
        <v>289</v>
      </c>
      <c r="H144" s="11" t="s">
        <v>35</v>
      </c>
      <c r="I144" s="2">
        <v>2235</v>
      </c>
      <c r="J144" s="2">
        <v>13408</v>
      </c>
    </row>
    <row r="145" spans="1:10" x14ac:dyDescent="0.3">
      <c r="A145" s="2" t="s">
        <v>290</v>
      </c>
      <c r="B145" s="2" t="s">
        <v>291</v>
      </c>
      <c r="C145" s="2" t="s">
        <v>32</v>
      </c>
      <c r="D145" s="2" t="s">
        <v>14</v>
      </c>
      <c r="E145" s="2">
        <v>55000</v>
      </c>
      <c r="F145" s="4" t="s">
        <v>22</v>
      </c>
      <c r="G145" s="11" t="s">
        <v>289</v>
      </c>
      <c r="H145" s="11" t="s">
        <v>35</v>
      </c>
      <c r="I145" s="2">
        <v>2456</v>
      </c>
      <c r="J145" s="2">
        <v>17189</v>
      </c>
    </row>
    <row r="146" spans="1:10" x14ac:dyDescent="0.3">
      <c r="A146" s="2" t="s">
        <v>292</v>
      </c>
      <c r="B146" s="2" t="s">
        <v>293</v>
      </c>
      <c r="C146" s="2" t="s">
        <v>32</v>
      </c>
      <c r="D146" s="2" t="s">
        <v>33</v>
      </c>
      <c r="E146" s="2">
        <v>48000</v>
      </c>
      <c r="F146" s="4" t="s">
        <v>22</v>
      </c>
      <c r="G146" s="11" t="s">
        <v>289</v>
      </c>
      <c r="H146" s="11" t="s">
        <v>35</v>
      </c>
      <c r="I146" s="2">
        <v>2827</v>
      </c>
      <c r="J146" s="2">
        <v>25439</v>
      </c>
    </row>
    <row r="147" spans="1:10" x14ac:dyDescent="0.3">
      <c r="A147" s="2" t="s">
        <v>294</v>
      </c>
      <c r="B147" s="2" t="s">
        <v>295</v>
      </c>
      <c r="C147" s="2" t="s">
        <v>32</v>
      </c>
      <c r="D147" s="2" t="s">
        <v>14</v>
      </c>
      <c r="E147" s="2">
        <v>26000</v>
      </c>
      <c r="F147" s="4" t="s">
        <v>20</v>
      </c>
      <c r="G147" s="11" t="s">
        <v>289</v>
      </c>
      <c r="H147" s="11" t="s">
        <v>35</v>
      </c>
      <c r="I147" s="2">
        <v>374</v>
      </c>
      <c r="J147" s="2">
        <v>9339</v>
      </c>
    </row>
    <row r="148" spans="1:10" x14ac:dyDescent="0.3">
      <c r="A148" s="2" t="s">
        <v>296</v>
      </c>
      <c r="B148" s="2" t="s">
        <v>297</v>
      </c>
      <c r="C148" s="2" t="s">
        <v>32</v>
      </c>
      <c r="D148" s="2" t="s">
        <v>14</v>
      </c>
      <c r="E148" s="2">
        <v>40000</v>
      </c>
      <c r="F148" s="4" t="s">
        <v>20</v>
      </c>
      <c r="G148" s="11" t="s">
        <v>289</v>
      </c>
      <c r="H148" s="11" t="s">
        <v>35</v>
      </c>
      <c r="I148" s="2">
        <v>3340</v>
      </c>
      <c r="J148" s="2">
        <v>6680</v>
      </c>
    </row>
    <row r="149" spans="1:10" x14ac:dyDescent="0.3">
      <c r="A149" s="2" t="s">
        <v>298</v>
      </c>
      <c r="B149" s="2" t="s">
        <v>299</v>
      </c>
      <c r="C149" s="2" t="s">
        <v>32</v>
      </c>
      <c r="D149" s="2" t="s">
        <v>14</v>
      </c>
      <c r="E149" s="2">
        <v>70000</v>
      </c>
      <c r="F149" s="4" t="s">
        <v>22</v>
      </c>
      <c r="G149" s="11" t="s">
        <v>289</v>
      </c>
      <c r="H149" s="11" t="s">
        <v>35</v>
      </c>
      <c r="I149" s="2">
        <v>1214</v>
      </c>
      <c r="J149" s="2">
        <v>3643</v>
      </c>
    </row>
    <row r="150" spans="1:10" x14ac:dyDescent="0.3">
      <c r="A150" s="2" t="s">
        <v>300</v>
      </c>
      <c r="B150" s="2" t="s">
        <v>12</v>
      </c>
      <c r="C150" s="2" t="s">
        <v>13</v>
      </c>
      <c r="D150" s="2" t="s">
        <v>14</v>
      </c>
      <c r="E150" s="2">
        <v>47052</v>
      </c>
      <c r="F150" s="4" t="s">
        <v>15</v>
      </c>
      <c r="G150" s="11" t="s">
        <v>28</v>
      </c>
      <c r="H150" s="11" t="s">
        <v>29</v>
      </c>
      <c r="I150" s="2">
        <v>2320</v>
      </c>
      <c r="J150" s="2">
        <v>20881</v>
      </c>
    </row>
    <row r="151" spans="1:10" x14ac:dyDescent="0.3">
      <c r="A151" s="2" t="s">
        <v>301</v>
      </c>
      <c r="B151" s="2" t="s">
        <v>302</v>
      </c>
      <c r="C151" s="2" t="s">
        <v>32</v>
      </c>
      <c r="D151" s="2" t="s">
        <v>14</v>
      </c>
      <c r="E151" s="2">
        <v>150000</v>
      </c>
      <c r="F151" s="4" t="s">
        <v>20</v>
      </c>
      <c r="G151" s="11" t="s">
        <v>289</v>
      </c>
      <c r="H151" s="11" t="s">
        <v>35</v>
      </c>
      <c r="I151" s="2">
        <v>3807</v>
      </c>
      <c r="J151" s="2">
        <v>34259</v>
      </c>
    </row>
    <row r="152" spans="1:10" x14ac:dyDescent="0.3">
      <c r="A152" s="2" t="s">
        <v>303</v>
      </c>
      <c r="B152" s="2" t="s">
        <v>304</v>
      </c>
      <c r="C152" s="2" t="s">
        <v>32</v>
      </c>
      <c r="D152" s="2" t="s">
        <v>14</v>
      </c>
      <c r="E152" s="2">
        <v>35000</v>
      </c>
      <c r="F152" s="4" t="s">
        <v>20</v>
      </c>
      <c r="G152" s="11" t="s">
        <v>289</v>
      </c>
      <c r="H152" s="11" t="s">
        <v>35</v>
      </c>
      <c r="I152" s="2">
        <v>1467</v>
      </c>
      <c r="J152" s="2">
        <v>14666</v>
      </c>
    </row>
    <row r="153" spans="1:10" x14ac:dyDescent="0.3">
      <c r="A153" s="2" t="s">
        <v>305</v>
      </c>
      <c r="B153" s="2" t="s">
        <v>306</v>
      </c>
      <c r="C153" s="2" t="s">
        <v>32</v>
      </c>
      <c r="D153" s="2" t="s">
        <v>14</v>
      </c>
      <c r="E153" s="2">
        <v>80000</v>
      </c>
      <c r="F153" s="4" t="s">
        <v>22</v>
      </c>
      <c r="G153" s="11" t="s">
        <v>289</v>
      </c>
      <c r="H153" s="11" t="s">
        <v>35</v>
      </c>
      <c r="I153" s="2">
        <v>2589</v>
      </c>
      <c r="J153" s="2">
        <v>33661</v>
      </c>
    </row>
    <row r="154" spans="1:10" x14ac:dyDescent="0.3">
      <c r="A154" s="2" t="s">
        <v>307</v>
      </c>
      <c r="B154" s="2" t="s">
        <v>308</v>
      </c>
      <c r="C154" s="2" t="s">
        <v>32</v>
      </c>
      <c r="D154" s="2" t="s">
        <v>14</v>
      </c>
      <c r="E154" s="2">
        <v>128000</v>
      </c>
      <c r="F154" s="4" t="s">
        <v>15</v>
      </c>
      <c r="G154" s="11" t="s">
        <v>289</v>
      </c>
      <c r="H154" s="11" t="s">
        <v>35</v>
      </c>
      <c r="I154" s="2">
        <v>5960</v>
      </c>
      <c r="J154" s="2">
        <v>59604</v>
      </c>
    </row>
    <row r="155" spans="1:10" x14ac:dyDescent="0.3">
      <c r="A155" s="2" t="s">
        <v>309</v>
      </c>
      <c r="B155" s="2" t="s">
        <v>310</v>
      </c>
      <c r="C155" s="2" t="s">
        <v>32</v>
      </c>
      <c r="D155" s="2" t="s">
        <v>33</v>
      </c>
      <c r="E155" s="2">
        <v>90000</v>
      </c>
      <c r="F155" s="4" t="s">
        <v>20</v>
      </c>
      <c r="G155" s="11" t="s">
        <v>289</v>
      </c>
      <c r="H155" s="11" t="s">
        <v>35</v>
      </c>
      <c r="I155" s="2">
        <v>46704</v>
      </c>
      <c r="J155" s="2">
        <v>420337</v>
      </c>
    </row>
    <row r="156" spans="1:10" x14ac:dyDescent="0.3">
      <c r="A156" s="2" t="s">
        <v>311</v>
      </c>
      <c r="B156" s="2" t="s">
        <v>312</v>
      </c>
      <c r="C156" s="2" t="s">
        <v>32</v>
      </c>
      <c r="D156" s="2" t="s">
        <v>33</v>
      </c>
      <c r="E156" s="2">
        <v>77000</v>
      </c>
      <c r="F156" s="4" t="s">
        <v>15</v>
      </c>
      <c r="G156" s="11" t="s">
        <v>289</v>
      </c>
      <c r="H156" s="11" t="s">
        <v>35</v>
      </c>
      <c r="I156" s="2">
        <v>9088</v>
      </c>
      <c r="J156" s="2">
        <v>199941</v>
      </c>
    </row>
    <row r="157" spans="1:10" x14ac:dyDescent="0.3">
      <c r="A157" s="2" t="s">
        <v>313</v>
      </c>
      <c r="B157" s="2" t="s">
        <v>39</v>
      </c>
      <c r="C157" s="2" t="s">
        <v>32</v>
      </c>
      <c r="D157" s="2" t="s">
        <v>14</v>
      </c>
      <c r="E157" s="2">
        <v>45000</v>
      </c>
      <c r="F157" s="4" t="s">
        <v>20</v>
      </c>
      <c r="G157" s="11" t="s">
        <v>289</v>
      </c>
      <c r="H157" s="11" t="s">
        <v>35</v>
      </c>
      <c r="I157" s="2">
        <v>2365</v>
      </c>
      <c r="J157" s="2">
        <v>23650</v>
      </c>
    </row>
    <row r="158" spans="1:10" x14ac:dyDescent="0.3">
      <c r="A158" s="2" t="s">
        <v>314</v>
      </c>
      <c r="B158" s="2" t="s">
        <v>315</v>
      </c>
      <c r="C158" s="2" t="s">
        <v>32</v>
      </c>
      <c r="D158" s="2" t="s">
        <v>14</v>
      </c>
      <c r="E158" s="2">
        <v>125000</v>
      </c>
      <c r="F158" s="4" t="s">
        <v>22</v>
      </c>
      <c r="G158" s="11" t="s">
        <v>289</v>
      </c>
      <c r="H158" s="11" t="s">
        <v>35</v>
      </c>
      <c r="I158" s="2">
        <v>4287</v>
      </c>
      <c r="J158" s="2">
        <v>30011</v>
      </c>
    </row>
    <row r="159" spans="1:10" x14ac:dyDescent="0.3">
      <c r="A159" s="2" t="s">
        <v>316</v>
      </c>
      <c r="B159" s="2" t="s">
        <v>317</v>
      </c>
      <c r="C159" s="2" t="s">
        <v>32</v>
      </c>
      <c r="D159" s="2" t="s">
        <v>14</v>
      </c>
      <c r="E159" s="2">
        <v>33000</v>
      </c>
      <c r="F159" s="4" t="s">
        <v>15</v>
      </c>
      <c r="G159" s="11" t="s">
        <v>289</v>
      </c>
      <c r="H159" s="11" t="s">
        <v>35</v>
      </c>
      <c r="I159" s="2">
        <v>3663</v>
      </c>
      <c r="J159" s="2">
        <v>43959</v>
      </c>
    </row>
    <row r="160" spans="1:10" x14ac:dyDescent="0.3">
      <c r="A160" s="2" t="s">
        <v>318</v>
      </c>
      <c r="B160" s="2" t="s">
        <v>319</v>
      </c>
      <c r="C160" s="2" t="s">
        <v>32</v>
      </c>
      <c r="D160" s="2" t="s">
        <v>14</v>
      </c>
      <c r="E160" s="2">
        <v>85000</v>
      </c>
      <c r="F160" s="4" t="s">
        <v>20</v>
      </c>
      <c r="G160" s="11" t="s">
        <v>289</v>
      </c>
      <c r="H160" s="11" t="s">
        <v>35</v>
      </c>
      <c r="I160" s="2">
        <v>1546</v>
      </c>
      <c r="J160" s="2">
        <v>9273</v>
      </c>
    </row>
    <row r="161" spans="1:10" x14ac:dyDescent="0.3">
      <c r="A161" s="2" t="s">
        <v>320</v>
      </c>
      <c r="B161" s="2" t="s">
        <v>12</v>
      </c>
      <c r="C161" s="2" t="s">
        <v>13</v>
      </c>
      <c r="D161" s="2" t="s">
        <v>14</v>
      </c>
      <c r="E161" s="2">
        <v>44520</v>
      </c>
      <c r="F161" s="4" t="s">
        <v>15</v>
      </c>
      <c r="G161" s="11" t="s">
        <v>28</v>
      </c>
      <c r="H161" s="11" t="s">
        <v>29</v>
      </c>
      <c r="I161" s="2">
        <v>5954</v>
      </c>
      <c r="J161" s="2">
        <v>29770</v>
      </c>
    </row>
    <row r="162" spans="1:10" x14ac:dyDescent="0.3">
      <c r="A162" s="2" t="s">
        <v>321</v>
      </c>
      <c r="B162" s="2" t="s">
        <v>322</v>
      </c>
      <c r="C162" s="2" t="s">
        <v>32</v>
      </c>
      <c r="D162" s="2" t="s">
        <v>14</v>
      </c>
      <c r="E162" s="2">
        <v>50000</v>
      </c>
      <c r="F162" s="4" t="s">
        <v>15</v>
      </c>
      <c r="G162" s="11" t="s">
        <v>289</v>
      </c>
      <c r="H162" s="11" t="s">
        <v>35</v>
      </c>
      <c r="I162" s="2">
        <v>3403</v>
      </c>
      <c r="J162" s="2">
        <v>10210</v>
      </c>
    </row>
    <row r="163" spans="1:10" x14ac:dyDescent="0.3">
      <c r="A163" s="2" t="s">
        <v>323</v>
      </c>
      <c r="B163" s="2" t="s">
        <v>324</v>
      </c>
      <c r="C163" s="2" t="s">
        <v>32</v>
      </c>
      <c r="D163" s="2" t="s">
        <v>14</v>
      </c>
      <c r="E163" s="2">
        <v>65000</v>
      </c>
      <c r="F163" s="4" t="s">
        <v>15</v>
      </c>
      <c r="G163" s="11" t="s">
        <v>289</v>
      </c>
      <c r="H163" s="11" t="s">
        <v>35</v>
      </c>
      <c r="I163" s="2">
        <v>4367</v>
      </c>
      <c r="J163" s="2">
        <v>56776</v>
      </c>
    </row>
    <row r="164" spans="1:10" x14ac:dyDescent="0.3">
      <c r="A164" s="2" t="s">
        <v>325</v>
      </c>
      <c r="B164" s="2" t="s">
        <v>326</v>
      </c>
      <c r="C164" s="2" t="s">
        <v>32</v>
      </c>
      <c r="D164" s="2" t="s">
        <v>14</v>
      </c>
      <c r="E164" s="2">
        <v>35000</v>
      </c>
      <c r="F164" s="4" t="s">
        <v>15</v>
      </c>
      <c r="G164" s="11" t="s">
        <v>289</v>
      </c>
      <c r="H164" s="11" t="s">
        <v>35</v>
      </c>
      <c r="I164" s="2">
        <v>1731</v>
      </c>
      <c r="J164" s="2">
        <v>12120</v>
      </c>
    </row>
    <row r="165" spans="1:10" x14ac:dyDescent="0.3">
      <c r="A165" s="2" t="s">
        <v>327</v>
      </c>
      <c r="B165" s="2" t="s">
        <v>328</v>
      </c>
      <c r="C165" s="2" t="s">
        <v>32</v>
      </c>
      <c r="D165" s="2" t="s">
        <v>14</v>
      </c>
      <c r="E165" s="2">
        <v>85000</v>
      </c>
      <c r="F165" s="4" t="s">
        <v>15</v>
      </c>
      <c r="G165" s="11" t="s">
        <v>289</v>
      </c>
      <c r="H165" s="11" t="s">
        <v>35</v>
      </c>
      <c r="I165" s="2">
        <v>3262</v>
      </c>
      <c r="J165" s="2">
        <v>16312</v>
      </c>
    </row>
    <row r="166" spans="1:10" x14ac:dyDescent="0.3">
      <c r="A166" s="2" t="s">
        <v>329</v>
      </c>
      <c r="B166" s="2" t="s">
        <v>330</v>
      </c>
      <c r="C166" s="2" t="s">
        <v>32</v>
      </c>
      <c r="D166" s="2" t="s">
        <v>14</v>
      </c>
      <c r="E166" s="2">
        <v>60000</v>
      </c>
      <c r="F166" s="4" t="s">
        <v>15</v>
      </c>
      <c r="G166" s="11" t="s">
        <v>289</v>
      </c>
      <c r="H166" s="11" t="s">
        <v>35</v>
      </c>
      <c r="I166" s="2">
        <v>2486</v>
      </c>
      <c r="J166" s="2">
        <v>17403</v>
      </c>
    </row>
    <row r="167" spans="1:10" x14ac:dyDescent="0.3">
      <c r="A167" s="2" t="s">
        <v>331</v>
      </c>
      <c r="B167" s="2" t="s">
        <v>332</v>
      </c>
      <c r="C167" s="2" t="s">
        <v>32</v>
      </c>
      <c r="D167" s="2" t="s">
        <v>14</v>
      </c>
      <c r="E167" s="2">
        <v>26000</v>
      </c>
      <c r="F167" s="4" t="s">
        <v>22</v>
      </c>
      <c r="G167" s="11" t="s">
        <v>289</v>
      </c>
      <c r="H167" s="11" t="s">
        <v>35</v>
      </c>
      <c r="I167" s="2">
        <v>1264</v>
      </c>
      <c r="J167" s="2">
        <v>22759</v>
      </c>
    </row>
    <row r="168" spans="1:10" x14ac:dyDescent="0.3">
      <c r="A168" s="2" t="s">
        <v>333</v>
      </c>
      <c r="B168" s="2" t="s">
        <v>334</v>
      </c>
      <c r="C168" s="2" t="s">
        <v>32</v>
      </c>
      <c r="D168" s="2" t="s">
        <v>14</v>
      </c>
      <c r="E168" s="2">
        <v>17000</v>
      </c>
      <c r="F168" s="4" t="s">
        <v>15</v>
      </c>
      <c r="G168" s="11" t="s">
        <v>289</v>
      </c>
      <c r="H168" s="11" t="s">
        <v>35</v>
      </c>
      <c r="I168" s="2">
        <v>2747</v>
      </c>
      <c r="J168" s="2">
        <v>24721</v>
      </c>
    </row>
    <row r="169" spans="1:10" x14ac:dyDescent="0.3">
      <c r="A169" s="2" t="s">
        <v>335</v>
      </c>
      <c r="B169" s="2" t="s">
        <v>336</v>
      </c>
      <c r="C169" s="2" t="s">
        <v>32</v>
      </c>
      <c r="D169" s="2" t="s">
        <v>33</v>
      </c>
      <c r="E169" s="2">
        <v>40000</v>
      </c>
      <c r="F169" s="4" t="s">
        <v>20</v>
      </c>
      <c r="G169" s="11" t="s">
        <v>289</v>
      </c>
      <c r="H169" s="11" t="s">
        <v>35</v>
      </c>
      <c r="I169" s="2">
        <v>2291</v>
      </c>
      <c r="J169" s="2">
        <v>11455</v>
      </c>
    </row>
    <row r="170" spans="1:10" x14ac:dyDescent="0.3">
      <c r="A170" s="2" t="s">
        <v>337</v>
      </c>
      <c r="B170" s="2" t="s">
        <v>105</v>
      </c>
      <c r="C170" s="2" t="s">
        <v>32</v>
      </c>
      <c r="D170" s="2" t="s">
        <v>14</v>
      </c>
      <c r="E170" s="2">
        <v>50000</v>
      </c>
      <c r="F170" s="4" t="s">
        <v>22</v>
      </c>
      <c r="G170" s="11" t="s">
        <v>289</v>
      </c>
      <c r="H170" s="11" t="s">
        <v>35</v>
      </c>
      <c r="I170" s="2">
        <v>2214</v>
      </c>
      <c r="J170" s="2">
        <v>28784</v>
      </c>
    </row>
    <row r="171" spans="1:10" x14ac:dyDescent="0.3">
      <c r="A171" s="2" t="s">
        <v>338</v>
      </c>
      <c r="B171" s="2" t="s">
        <v>304</v>
      </c>
      <c r="C171" s="2" t="s">
        <v>32</v>
      </c>
      <c r="D171" s="2" t="s">
        <v>14</v>
      </c>
      <c r="E171" s="2">
        <v>33000</v>
      </c>
      <c r="F171" s="4" t="s">
        <v>22</v>
      </c>
      <c r="G171" s="11" t="s">
        <v>289</v>
      </c>
      <c r="H171" s="11" t="s">
        <v>35</v>
      </c>
      <c r="I171" s="2">
        <v>1656</v>
      </c>
      <c r="J171" s="2">
        <v>8280</v>
      </c>
    </row>
    <row r="172" spans="1:10" x14ac:dyDescent="0.3">
      <c r="A172" s="2" t="s">
        <v>339</v>
      </c>
      <c r="B172" s="2" t="s">
        <v>12</v>
      </c>
      <c r="C172" s="2" t="s">
        <v>13</v>
      </c>
      <c r="D172" s="2" t="s">
        <v>14</v>
      </c>
      <c r="E172" s="2">
        <v>53000</v>
      </c>
      <c r="F172" s="4" t="s">
        <v>20</v>
      </c>
      <c r="G172" s="11" t="s">
        <v>28</v>
      </c>
      <c r="H172" s="11" t="s">
        <v>29</v>
      </c>
      <c r="I172" s="2">
        <v>1757</v>
      </c>
      <c r="J172" s="2">
        <v>12298</v>
      </c>
    </row>
    <row r="173" spans="1:10" x14ac:dyDescent="0.3">
      <c r="A173" s="2" t="s">
        <v>340</v>
      </c>
      <c r="B173" s="2" t="s">
        <v>341</v>
      </c>
      <c r="C173" s="2" t="s">
        <v>32</v>
      </c>
      <c r="D173" s="2" t="s">
        <v>14</v>
      </c>
      <c r="E173" s="2">
        <v>32000</v>
      </c>
      <c r="F173" s="4" t="s">
        <v>20</v>
      </c>
      <c r="G173" s="11" t="s">
        <v>289</v>
      </c>
      <c r="H173" s="11" t="s">
        <v>35</v>
      </c>
      <c r="I173" s="2">
        <v>2571</v>
      </c>
      <c r="J173" s="2">
        <v>10283</v>
      </c>
    </row>
    <row r="174" spans="1:10" x14ac:dyDescent="0.3">
      <c r="A174" s="2" t="s">
        <v>342</v>
      </c>
      <c r="B174" s="2" t="s">
        <v>343</v>
      </c>
      <c r="C174" s="2" t="s">
        <v>32</v>
      </c>
      <c r="D174" s="2" t="s">
        <v>14</v>
      </c>
      <c r="E174" s="2">
        <v>37643</v>
      </c>
      <c r="F174" s="4" t="s">
        <v>22</v>
      </c>
      <c r="G174" s="11" t="s">
        <v>289</v>
      </c>
      <c r="H174" s="11" t="s">
        <v>35</v>
      </c>
      <c r="I174" s="2">
        <v>3602</v>
      </c>
      <c r="J174" s="2">
        <v>14406</v>
      </c>
    </row>
    <row r="175" spans="1:10" x14ac:dyDescent="0.3">
      <c r="A175" s="2" t="s">
        <v>344</v>
      </c>
      <c r="B175" s="2" t="s">
        <v>12</v>
      </c>
      <c r="C175" s="2" t="s">
        <v>32</v>
      </c>
      <c r="D175" s="2" t="s">
        <v>14</v>
      </c>
      <c r="E175" s="2">
        <v>42750</v>
      </c>
      <c r="F175" s="4" t="s">
        <v>15</v>
      </c>
      <c r="G175" s="11" t="s">
        <v>289</v>
      </c>
      <c r="H175" s="11" t="s">
        <v>35</v>
      </c>
      <c r="I175" s="2">
        <v>5998</v>
      </c>
      <c r="J175" s="2">
        <v>125955</v>
      </c>
    </row>
    <row r="176" spans="1:10" x14ac:dyDescent="0.3">
      <c r="A176" s="2" t="s">
        <v>345</v>
      </c>
      <c r="B176" s="2" t="s">
        <v>76</v>
      </c>
      <c r="C176" s="2" t="s">
        <v>32</v>
      </c>
      <c r="D176" s="2" t="s">
        <v>14</v>
      </c>
      <c r="E176" s="2">
        <v>75000</v>
      </c>
      <c r="F176" s="4" t="s">
        <v>20</v>
      </c>
      <c r="G176" s="11" t="s">
        <v>289</v>
      </c>
      <c r="H176" s="11" t="s">
        <v>35</v>
      </c>
      <c r="I176" s="2">
        <v>2484</v>
      </c>
      <c r="J176" s="2">
        <v>17385</v>
      </c>
    </row>
    <row r="177" spans="1:10" x14ac:dyDescent="0.3">
      <c r="A177" s="2" t="s">
        <v>346</v>
      </c>
      <c r="B177" s="2" t="s">
        <v>347</v>
      </c>
      <c r="C177" s="2" t="s">
        <v>32</v>
      </c>
      <c r="D177" s="2" t="s">
        <v>14</v>
      </c>
      <c r="E177" s="2">
        <v>60000</v>
      </c>
      <c r="F177" s="4" t="s">
        <v>20</v>
      </c>
      <c r="G177" s="11" t="s">
        <v>289</v>
      </c>
      <c r="H177" s="11" t="s">
        <v>35</v>
      </c>
      <c r="I177" s="2">
        <v>2392</v>
      </c>
      <c r="J177" s="2">
        <v>11961</v>
      </c>
    </row>
    <row r="178" spans="1:10" x14ac:dyDescent="0.3">
      <c r="A178" s="2" t="s">
        <v>348</v>
      </c>
      <c r="B178" s="2" t="s">
        <v>349</v>
      </c>
      <c r="C178" s="2" t="s">
        <v>32</v>
      </c>
      <c r="D178" s="2" t="s">
        <v>14</v>
      </c>
      <c r="E178" s="2">
        <v>120000</v>
      </c>
      <c r="F178" s="4" t="s">
        <v>22</v>
      </c>
      <c r="G178" s="11" t="s">
        <v>289</v>
      </c>
      <c r="H178" s="11" t="s">
        <v>35</v>
      </c>
      <c r="I178" s="2">
        <v>4460</v>
      </c>
      <c r="J178" s="2">
        <v>66897</v>
      </c>
    </row>
    <row r="179" spans="1:10" x14ac:dyDescent="0.3">
      <c r="A179" s="2" t="s">
        <v>350</v>
      </c>
      <c r="B179" s="2" t="s">
        <v>351</v>
      </c>
      <c r="C179" s="2" t="s">
        <v>32</v>
      </c>
      <c r="D179" s="2" t="s">
        <v>14</v>
      </c>
      <c r="E179" s="2">
        <v>40000</v>
      </c>
      <c r="F179" s="4" t="s">
        <v>22</v>
      </c>
      <c r="G179" s="11" t="s">
        <v>289</v>
      </c>
      <c r="H179" s="11" t="s">
        <v>35</v>
      </c>
      <c r="I179" s="2">
        <v>7857</v>
      </c>
      <c r="J179" s="2">
        <v>149289</v>
      </c>
    </row>
    <row r="180" spans="1:10" x14ac:dyDescent="0.3">
      <c r="A180" s="2" t="s">
        <v>352</v>
      </c>
      <c r="B180" s="2" t="s">
        <v>353</v>
      </c>
      <c r="C180" s="2" t="s">
        <v>32</v>
      </c>
      <c r="D180" s="2" t="s">
        <v>14</v>
      </c>
      <c r="E180" s="2">
        <v>66000</v>
      </c>
      <c r="F180" s="4" t="s">
        <v>20</v>
      </c>
      <c r="G180" s="11" t="s">
        <v>289</v>
      </c>
      <c r="H180" s="11" t="s">
        <v>35</v>
      </c>
      <c r="I180" s="2">
        <v>22065</v>
      </c>
      <c r="J180" s="2">
        <v>154452</v>
      </c>
    </row>
    <row r="181" spans="1:10" x14ac:dyDescent="0.3">
      <c r="A181" s="2" t="s">
        <v>354</v>
      </c>
      <c r="B181" s="2" t="s">
        <v>175</v>
      </c>
      <c r="C181" s="2" t="s">
        <v>32</v>
      </c>
      <c r="D181" s="2" t="s">
        <v>14</v>
      </c>
      <c r="E181" s="2">
        <v>52000</v>
      </c>
      <c r="F181" s="4" t="s">
        <v>15</v>
      </c>
      <c r="G181" s="11" t="s">
        <v>289</v>
      </c>
      <c r="H181" s="11" t="s">
        <v>35</v>
      </c>
      <c r="I181" s="2">
        <v>3274</v>
      </c>
      <c r="J181" s="2">
        <v>22918</v>
      </c>
    </row>
    <row r="182" spans="1:10" x14ac:dyDescent="0.3">
      <c r="A182" s="2" t="s">
        <v>355</v>
      </c>
      <c r="B182" s="2" t="s">
        <v>356</v>
      </c>
      <c r="C182" s="2" t="s">
        <v>32</v>
      </c>
      <c r="D182" s="2" t="s">
        <v>14</v>
      </c>
      <c r="E182" s="2">
        <v>140000</v>
      </c>
      <c r="F182" s="4" t="s">
        <v>22</v>
      </c>
      <c r="G182" s="11" t="s">
        <v>289</v>
      </c>
      <c r="H182" s="11" t="s">
        <v>35</v>
      </c>
      <c r="I182" s="2">
        <v>5694</v>
      </c>
      <c r="J182" s="2">
        <v>56938</v>
      </c>
    </row>
    <row r="183" spans="1:10" x14ac:dyDescent="0.3">
      <c r="A183" s="2" t="s">
        <v>357</v>
      </c>
      <c r="B183" s="2" t="s">
        <v>12</v>
      </c>
      <c r="C183" s="2" t="s">
        <v>13</v>
      </c>
      <c r="D183" s="2" t="s">
        <v>14</v>
      </c>
      <c r="E183" s="2">
        <v>44000</v>
      </c>
      <c r="F183" s="4" t="s">
        <v>20</v>
      </c>
      <c r="G183" s="11" t="s">
        <v>28</v>
      </c>
      <c r="H183" s="11" t="s">
        <v>29</v>
      </c>
      <c r="I183" s="2">
        <v>11112</v>
      </c>
      <c r="J183" s="2">
        <v>44446</v>
      </c>
    </row>
    <row r="184" spans="1:10" x14ac:dyDescent="0.3">
      <c r="A184" s="2" t="s">
        <v>358</v>
      </c>
      <c r="B184" s="2" t="s">
        <v>359</v>
      </c>
      <c r="C184" s="2" t="s">
        <v>32</v>
      </c>
      <c r="D184" s="2" t="s">
        <v>14</v>
      </c>
      <c r="E184" s="2">
        <v>70000</v>
      </c>
      <c r="F184" s="4" t="s">
        <v>22</v>
      </c>
      <c r="G184" s="11" t="s">
        <v>289</v>
      </c>
      <c r="H184" s="11" t="s">
        <v>35</v>
      </c>
      <c r="I184" s="2">
        <v>1847</v>
      </c>
      <c r="J184" s="2">
        <v>18472</v>
      </c>
    </row>
    <row r="185" spans="1:10" x14ac:dyDescent="0.3">
      <c r="A185" s="2" t="s">
        <v>360</v>
      </c>
      <c r="B185" s="2" t="s">
        <v>120</v>
      </c>
      <c r="C185" s="2" t="s">
        <v>32</v>
      </c>
      <c r="D185" s="2" t="s">
        <v>19</v>
      </c>
      <c r="E185" s="2">
        <v>60000</v>
      </c>
      <c r="F185" s="4" t="s">
        <v>22</v>
      </c>
      <c r="G185" s="11" t="s">
        <v>289</v>
      </c>
      <c r="H185" s="11" t="s">
        <v>35</v>
      </c>
      <c r="I185" s="2">
        <v>1248</v>
      </c>
      <c r="J185" s="2">
        <v>17469</v>
      </c>
    </row>
    <row r="186" spans="1:10" x14ac:dyDescent="0.3">
      <c r="A186" s="2" t="s">
        <v>361</v>
      </c>
      <c r="B186" s="2" t="s">
        <v>362</v>
      </c>
      <c r="C186" s="2" t="s">
        <v>32</v>
      </c>
      <c r="D186" s="2" t="s">
        <v>14</v>
      </c>
      <c r="E186" s="2">
        <v>45000</v>
      </c>
      <c r="F186" s="4" t="s">
        <v>22</v>
      </c>
      <c r="G186" s="11" t="s">
        <v>289</v>
      </c>
      <c r="H186" s="11" t="s">
        <v>35</v>
      </c>
      <c r="I186" s="2">
        <v>16959</v>
      </c>
      <c r="J186" s="2">
        <v>101756</v>
      </c>
    </row>
    <row r="187" spans="1:10" x14ac:dyDescent="0.3">
      <c r="A187" s="2" t="s">
        <v>363</v>
      </c>
      <c r="B187" s="2" t="s">
        <v>364</v>
      </c>
      <c r="C187" s="2" t="s">
        <v>32</v>
      </c>
      <c r="D187" s="2" t="s">
        <v>14</v>
      </c>
      <c r="E187" s="2">
        <v>40000</v>
      </c>
      <c r="F187" s="4" t="s">
        <v>22</v>
      </c>
      <c r="G187" s="11" t="s">
        <v>289</v>
      </c>
      <c r="H187" s="11" t="s">
        <v>35</v>
      </c>
      <c r="I187" s="2">
        <v>1682</v>
      </c>
      <c r="J187" s="2">
        <v>40373</v>
      </c>
    </row>
    <row r="188" spans="1:10" x14ac:dyDescent="0.3">
      <c r="A188" s="2" t="s">
        <v>365</v>
      </c>
      <c r="B188" s="2" t="s">
        <v>366</v>
      </c>
      <c r="C188" s="2" t="s">
        <v>32</v>
      </c>
      <c r="D188" s="2" t="s">
        <v>14</v>
      </c>
      <c r="E188" s="2">
        <v>42000</v>
      </c>
      <c r="F188" s="4" t="s">
        <v>22</v>
      </c>
      <c r="G188" s="11" t="s">
        <v>289</v>
      </c>
      <c r="H188" s="11" t="s">
        <v>35</v>
      </c>
      <c r="I188" s="2">
        <v>842</v>
      </c>
      <c r="J188" s="2">
        <v>16834</v>
      </c>
    </row>
    <row r="189" spans="1:10" x14ac:dyDescent="0.3">
      <c r="A189" s="2" t="s">
        <v>367</v>
      </c>
      <c r="B189" s="2" t="s">
        <v>117</v>
      </c>
      <c r="C189" s="2" t="s">
        <v>32</v>
      </c>
      <c r="D189" s="2" t="s">
        <v>19</v>
      </c>
      <c r="E189" s="2">
        <v>115000</v>
      </c>
      <c r="F189" s="4" t="s">
        <v>22</v>
      </c>
      <c r="G189" s="11" t="s">
        <v>289</v>
      </c>
      <c r="H189" s="11" t="s">
        <v>35</v>
      </c>
      <c r="I189" s="2">
        <v>63974</v>
      </c>
      <c r="J189" s="2">
        <v>447820</v>
      </c>
    </row>
    <row r="190" spans="1:10" x14ac:dyDescent="0.3">
      <c r="A190" s="2" t="s">
        <v>368</v>
      </c>
      <c r="B190" s="2" t="s">
        <v>369</v>
      </c>
      <c r="C190" s="2" t="s">
        <v>32</v>
      </c>
      <c r="D190" s="2" t="s">
        <v>14</v>
      </c>
      <c r="E190" s="2">
        <v>100000</v>
      </c>
      <c r="F190" s="4" t="s">
        <v>22</v>
      </c>
      <c r="G190" s="11" t="s">
        <v>289</v>
      </c>
      <c r="H190" s="11" t="s">
        <v>35</v>
      </c>
      <c r="I190" s="2">
        <v>5819</v>
      </c>
      <c r="J190" s="2">
        <v>75646</v>
      </c>
    </row>
    <row r="191" spans="1:10" x14ac:dyDescent="0.3">
      <c r="A191" s="2" t="s">
        <v>370</v>
      </c>
      <c r="B191" s="2" t="s">
        <v>371</v>
      </c>
      <c r="C191" s="2" t="s">
        <v>32</v>
      </c>
      <c r="D191" s="2" t="s">
        <v>14</v>
      </c>
      <c r="E191" s="2">
        <v>75000</v>
      </c>
      <c r="F191" s="4" t="s">
        <v>22</v>
      </c>
      <c r="G191" s="11" t="s">
        <v>289</v>
      </c>
      <c r="H191" s="11" t="s">
        <v>35</v>
      </c>
      <c r="I191" s="2">
        <v>3458</v>
      </c>
      <c r="J191" s="2">
        <v>38035</v>
      </c>
    </row>
    <row r="192" spans="1:10" x14ac:dyDescent="0.3">
      <c r="A192" s="2" t="s">
        <v>372</v>
      </c>
      <c r="B192" s="2" t="s">
        <v>373</v>
      </c>
      <c r="C192" s="2" t="s">
        <v>32</v>
      </c>
      <c r="D192" s="2" t="s">
        <v>33</v>
      </c>
      <c r="E192" s="2">
        <v>11000</v>
      </c>
      <c r="F192" s="4" t="s">
        <v>15</v>
      </c>
      <c r="G192" s="11" t="s">
        <v>289</v>
      </c>
      <c r="H192" s="11" t="s">
        <v>35</v>
      </c>
      <c r="I192" s="2">
        <v>661</v>
      </c>
      <c r="J192" s="2">
        <v>3305</v>
      </c>
    </row>
    <row r="193" spans="1:10" x14ac:dyDescent="0.3">
      <c r="A193" s="2" t="s">
        <v>374</v>
      </c>
      <c r="B193" s="2" t="s">
        <v>375</v>
      </c>
      <c r="C193" s="2" t="s">
        <v>32</v>
      </c>
      <c r="D193" s="2" t="s">
        <v>19</v>
      </c>
      <c r="E193" s="2">
        <v>180000</v>
      </c>
      <c r="F193" s="4" t="s">
        <v>22</v>
      </c>
      <c r="G193" s="11" t="s">
        <v>289</v>
      </c>
      <c r="H193" s="11" t="s">
        <v>35</v>
      </c>
      <c r="I193" s="2">
        <v>56443</v>
      </c>
      <c r="J193" s="2">
        <v>1015979</v>
      </c>
    </row>
    <row r="194" spans="1:10" x14ac:dyDescent="0.3">
      <c r="A194" s="2" t="s">
        <v>376</v>
      </c>
      <c r="B194" s="2" t="s">
        <v>12</v>
      </c>
      <c r="C194" s="2" t="s">
        <v>13</v>
      </c>
      <c r="D194" s="2" t="s">
        <v>19</v>
      </c>
      <c r="E194" s="2">
        <v>40000</v>
      </c>
      <c r="F194" s="4" t="s">
        <v>15</v>
      </c>
      <c r="G194" s="11" t="s">
        <v>28</v>
      </c>
      <c r="H194" s="11" t="s">
        <v>29</v>
      </c>
      <c r="I194" s="2">
        <v>22238</v>
      </c>
      <c r="J194" s="2">
        <v>88950</v>
      </c>
    </row>
    <row r="195" spans="1:10" x14ac:dyDescent="0.3">
      <c r="A195" s="2" t="s">
        <v>377</v>
      </c>
      <c r="B195" s="2" t="s">
        <v>378</v>
      </c>
      <c r="C195" s="2" t="s">
        <v>32</v>
      </c>
      <c r="D195" s="2" t="s">
        <v>14</v>
      </c>
      <c r="E195" s="2">
        <v>54600</v>
      </c>
      <c r="F195" s="4" t="s">
        <v>20</v>
      </c>
      <c r="G195" s="11" t="s">
        <v>289</v>
      </c>
      <c r="H195" s="11" t="s">
        <v>35</v>
      </c>
      <c r="I195" s="2">
        <v>1744</v>
      </c>
      <c r="J195" s="2">
        <v>15697</v>
      </c>
    </row>
    <row r="196" spans="1:10" x14ac:dyDescent="0.3">
      <c r="A196" s="2" t="s">
        <v>379</v>
      </c>
      <c r="B196" s="2" t="s">
        <v>380</v>
      </c>
      <c r="C196" s="2" t="s">
        <v>32</v>
      </c>
      <c r="D196" s="2" t="s">
        <v>14</v>
      </c>
      <c r="E196" s="2">
        <v>52000</v>
      </c>
      <c r="F196" s="4" t="s">
        <v>20</v>
      </c>
      <c r="G196" s="11" t="s">
        <v>289</v>
      </c>
      <c r="H196" s="11" t="s">
        <v>35</v>
      </c>
      <c r="I196" s="2">
        <v>5322</v>
      </c>
      <c r="J196" s="2">
        <v>42576</v>
      </c>
    </row>
    <row r="197" spans="1:10" x14ac:dyDescent="0.3">
      <c r="A197" s="2" t="s">
        <v>381</v>
      </c>
      <c r="B197" s="2" t="s">
        <v>382</v>
      </c>
      <c r="C197" s="2" t="s">
        <v>32</v>
      </c>
      <c r="D197" s="2" t="s">
        <v>14</v>
      </c>
      <c r="E197" s="2">
        <v>85000</v>
      </c>
      <c r="F197" s="4" t="s">
        <v>22</v>
      </c>
      <c r="G197" s="11" t="s">
        <v>289</v>
      </c>
      <c r="H197" s="11" t="s">
        <v>35</v>
      </c>
      <c r="I197" s="2">
        <v>93203</v>
      </c>
      <c r="J197" s="2">
        <v>559220</v>
      </c>
    </row>
    <row r="198" spans="1:10" x14ac:dyDescent="0.3">
      <c r="A198" s="2" t="s">
        <v>383</v>
      </c>
      <c r="B198" s="2" t="s">
        <v>384</v>
      </c>
      <c r="C198" s="2" t="s">
        <v>32</v>
      </c>
      <c r="D198" s="2" t="s">
        <v>14</v>
      </c>
      <c r="E198" s="2">
        <v>51000</v>
      </c>
      <c r="F198" s="4" t="s">
        <v>22</v>
      </c>
      <c r="G198" s="11" t="s">
        <v>289</v>
      </c>
      <c r="H198" s="11" t="s">
        <v>35</v>
      </c>
      <c r="I198" s="2">
        <v>2274</v>
      </c>
      <c r="J198" s="2">
        <v>13643</v>
      </c>
    </row>
    <row r="199" spans="1:10" x14ac:dyDescent="0.3">
      <c r="A199" s="2" t="s">
        <v>385</v>
      </c>
      <c r="B199" s="2" t="s">
        <v>39</v>
      </c>
      <c r="C199" s="2" t="s">
        <v>32</v>
      </c>
      <c r="D199" s="2" t="s">
        <v>14</v>
      </c>
      <c r="E199" s="2">
        <v>55000</v>
      </c>
      <c r="F199" s="4" t="s">
        <v>20</v>
      </c>
      <c r="G199" s="11" t="s">
        <v>289</v>
      </c>
      <c r="H199" s="11" t="s">
        <v>35</v>
      </c>
      <c r="I199" s="2">
        <v>5331</v>
      </c>
      <c r="J199" s="2">
        <v>31985</v>
      </c>
    </row>
    <row r="200" spans="1:10" x14ac:dyDescent="0.3">
      <c r="A200" s="2" t="s">
        <v>386</v>
      </c>
      <c r="B200" s="2" t="s">
        <v>324</v>
      </c>
      <c r="C200" s="2" t="s">
        <v>32</v>
      </c>
      <c r="D200" s="2" t="s">
        <v>33</v>
      </c>
      <c r="E200" s="2">
        <v>150000</v>
      </c>
      <c r="F200" s="4" t="s">
        <v>20</v>
      </c>
      <c r="G200" s="11" t="s">
        <v>289</v>
      </c>
      <c r="H200" s="11" t="s">
        <v>35</v>
      </c>
      <c r="I200" s="2">
        <v>6291</v>
      </c>
      <c r="J200" s="2">
        <v>132120</v>
      </c>
    </row>
    <row r="201" spans="1:10" x14ac:dyDescent="0.3">
      <c r="A201" s="2" t="s">
        <v>387</v>
      </c>
      <c r="B201" s="2" t="s">
        <v>84</v>
      </c>
      <c r="C201" s="2" t="s">
        <v>32</v>
      </c>
      <c r="D201" s="2" t="s">
        <v>14</v>
      </c>
      <c r="E201" s="2">
        <v>64000</v>
      </c>
      <c r="F201" s="4" t="s">
        <v>22</v>
      </c>
      <c r="G201" s="11" t="s">
        <v>289</v>
      </c>
      <c r="H201" s="11" t="s">
        <v>35</v>
      </c>
      <c r="I201" s="2">
        <v>13427</v>
      </c>
      <c r="J201" s="2">
        <v>107419</v>
      </c>
    </row>
    <row r="202" spans="1:10" x14ac:dyDescent="0.3">
      <c r="A202" s="2" t="s">
        <v>388</v>
      </c>
      <c r="B202" s="2" t="s">
        <v>389</v>
      </c>
      <c r="C202" s="2" t="s">
        <v>32</v>
      </c>
      <c r="D202" s="2" t="s">
        <v>14</v>
      </c>
      <c r="E202" s="2">
        <v>160800</v>
      </c>
      <c r="F202" s="4" t="s">
        <v>20</v>
      </c>
      <c r="G202" s="11" t="s">
        <v>289</v>
      </c>
      <c r="H202" s="11" t="s">
        <v>35</v>
      </c>
      <c r="I202" s="2">
        <v>2363</v>
      </c>
      <c r="J202" s="2">
        <v>54338</v>
      </c>
    </row>
    <row r="203" spans="1:10" x14ac:dyDescent="0.3">
      <c r="A203" s="2" t="s">
        <v>390</v>
      </c>
      <c r="B203" s="2" t="s">
        <v>391</v>
      </c>
      <c r="C203" s="2" t="s">
        <v>32</v>
      </c>
      <c r="D203" s="2" t="s">
        <v>14</v>
      </c>
      <c r="E203" s="2">
        <v>65000</v>
      </c>
      <c r="F203" s="4" t="s">
        <v>22</v>
      </c>
      <c r="G203" s="11" t="s">
        <v>289</v>
      </c>
      <c r="H203" s="11" t="s">
        <v>35</v>
      </c>
      <c r="I203" s="2">
        <v>2277</v>
      </c>
      <c r="J203" s="2">
        <v>22766</v>
      </c>
    </row>
    <row r="204" spans="1:10" x14ac:dyDescent="0.3">
      <c r="A204" s="2" t="s">
        <v>392</v>
      </c>
      <c r="B204" s="2" t="s">
        <v>393</v>
      </c>
      <c r="C204" s="2" t="s">
        <v>32</v>
      </c>
      <c r="D204" s="2" t="s">
        <v>14</v>
      </c>
      <c r="E204" s="2">
        <v>64000</v>
      </c>
      <c r="F204" s="4" t="s">
        <v>20</v>
      </c>
      <c r="G204" s="11" t="s">
        <v>289</v>
      </c>
      <c r="H204" s="11" t="s">
        <v>35</v>
      </c>
      <c r="I204" s="2">
        <v>11796</v>
      </c>
      <c r="J204" s="2">
        <v>106168</v>
      </c>
    </row>
    <row r="205" spans="1:10" x14ac:dyDescent="0.3">
      <c r="A205" s="2" t="s">
        <v>394</v>
      </c>
      <c r="B205" s="2" t="s">
        <v>12</v>
      </c>
      <c r="C205" s="2" t="s">
        <v>13</v>
      </c>
      <c r="D205" s="2" t="s">
        <v>19</v>
      </c>
      <c r="E205" s="2">
        <v>65000</v>
      </c>
      <c r="F205" s="4" t="s">
        <v>20</v>
      </c>
      <c r="G205" s="11" t="s">
        <v>28</v>
      </c>
      <c r="H205" s="11" t="s">
        <v>29</v>
      </c>
      <c r="I205" s="2">
        <v>4960</v>
      </c>
      <c r="J205" s="2">
        <v>84322</v>
      </c>
    </row>
    <row r="206" spans="1:10" x14ac:dyDescent="0.3">
      <c r="A206" s="2" t="s">
        <v>395</v>
      </c>
      <c r="B206" s="2" t="s">
        <v>396</v>
      </c>
      <c r="C206" s="2" t="s">
        <v>32</v>
      </c>
      <c r="D206" s="2" t="s">
        <v>33</v>
      </c>
      <c r="E206" s="2">
        <v>47400</v>
      </c>
      <c r="F206" s="4" t="s">
        <v>22</v>
      </c>
      <c r="G206" s="11" t="s">
        <v>289</v>
      </c>
      <c r="H206" s="11" t="s">
        <v>35</v>
      </c>
      <c r="I206" s="2">
        <v>14103</v>
      </c>
      <c r="J206" s="2">
        <v>126928</v>
      </c>
    </row>
    <row r="207" spans="1:10" x14ac:dyDescent="0.3">
      <c r="A207" s="2" t="s">
        <v>397</v>
      </c>
      <c r="B207" s="2" t="s">
        <v>398</v>
      </c>
      <c r="C207" s="2" t="s">
        <v>32</v>
      </c>
      <c r="D207" s="2" t="s">
        <v>14</v>
      </c>
      <c r="E207" s="2">
        <v>61000</v>
      </c>
      <c r="F207" s="4" t="s">
        <v>20</v>
      </c>
      <c r="G207" s="11" t="s">
        <v>289</v>
      </c>
      <c r="H207" s="11" t="s">
        <v>35</v>
      </c>
      <c r="I207" s="2">
        <v>1582</v>
      </c>
      <c r="J207" s="2">
        <v>7911</v>
      </c>
    </row>
    <row r="208" spans="1:10" x14ac:dyDescent="0.3">
      <c r="A208" s="2" t="s">
        <v>399</v>
      </c>
      <c r="B208" s="2" t="s">
        <v>400</v>
      </c>
      <c r="C208" s="2" t="s">
        <v>32</v>
      </c>
      <c r="D208" s="2" t="s">
        <v>14</v>
      </c>
      <c r="E208" s="2">
        <v>68000</v>
      </c>
      <c r="F208" s="4" t="s">
        <v>20</v>
      </c>
      <c r="G208" s="11" t="s">
        <v>289</v>
      </c>
      <c r="H208" s="11" t="s">
        <v>35</v>
      </c>
      <c r="I208" s="2">
        <v>21560</v>
      </c>
      <c r="J208" s="2">
        <v>237155</v>
      </c>
    </row>
    <row r="209" spans="1:10" x14ac:dyDescent="0.3">
      <c r="A209" s="2" t="s">
        <v>401</v>
      </c>
      <c r="B209" s="2" t="s">
        <v>402</v>
      </c>
      <c r="C209" s="2" t="s">
        <v>32</v>
      </c>
      <c r="D209" s="2" t="s">
        <v>14</v>
      </c>
      <c r="E209" s="2">
        <v>50000</v>
      </c>
      <c r="F209" s="4" t="s">
        <v>22</v>
      </c>
      <c r="G209" s="11" t="s">
        <v>289</v>
      </c>
      <c r="H209" s="11" t="s">
        <v>35</v>
      </c>
      <c r="I209" s="2">
        <v>1958</v>
      </c>
      <c r="J209" s="2">
        <v>13704</v>
      </c>
    </row>
    <row r="210" spans="1:10" x14ac:dyDescent="0.3">
      <c r="A210" s="2" t="s">
        <v>403</v>
      </c>
      <c r="B210" s="2" t="s">
        <v>120</v>
      </c>
      <c r="C210" s="2" t="s">
        <v>32</v>
      </c>
      <c r="D210" s="2" t="s">
        <v>14</v>
      </c>
      <c r="E210" s="2">
        <v>70000</v>
      </c>
      <c r="F210" s="4" t="s">
        <v>20</v>
      </c>
      <c r="G210" s="11" t="s">
        <v>289</v>
      </c>
      <c r="H210" s="11" t="s">
        <v>35</v>
      </c>
      <c r="I210" s="2">
        <v>13073</v>
      </c>
      <c r="J210" s="2">
        <v>169950</v>
      </c>
    </row>
    <row r="211" spans="1:10" x14ac:dyDescent="0.3">
      <c r="A211" s="2" t="s">
        <v>404</v>
      </c>
      <c r="B211" s="2" t="s">
        <v>84</v>
      </c>
      <c r="C211" s="2" t="s">
        <v>32</v>
      </c>
      <c r="D211" s="2" t="s">
        <v>14</v>
      </c>
      <c r="E211" s="2">
        <v>146000</v>
      </c>
      <c r="F211" s="4" t="s">
        <v>22</v>
      </c>
      <c r="G211" s="11" t="s">
        <v>289</v>
      </c>
      <c r="H211" s="11" t="s">
        <v>35</v>
      </c>
      <c r="I211" s="2">
        <v>5982</v>
      </c>
      <c r="J211" s="2">
        <v>41876</v>
      </c>
    </row>
    <row r="212" spans="1:10" x14ac:dyDescent="0.3">
      <c r="A212" s="2" t="s">
        <v>405</v>
      </c>
      <c r="B212" s="2" t="s">
        <v>406</v>
      </c>
      <c r="C212" s="2" t="s">
        <v>32</v>
      </c>
      <c r="D212" s="2" t="s">
        <v>14</v>
      </c>
      <c r="E212" s="2">
        <v>70000</v>
      </c>
      <c r="F212" s="4" t="s">
        <v>20</v>
      </c>
      <c r="G212" s="11" t="s">
        <v>289</v>
      </c>
      <c r="H212" s="11" t="s">
        <v>35</v>
      </c>
      <c r="I212" s="2">
        <v>6013</v>
      </c>
      <c r="J212" s="2">
        <v>54114</v>
      </c>
    </row>
    <row r="213" spans="1:10" x14ac:dyDescent="0.3">
      <c r="A213" s="2" t="s">
        <v>407</v>
      </c>
      <c r="B213" s="2" t="s">
        <v>408</v>
      </c>
      <c r="C213" s="2" t="s">
        <v>32</v>
      </c>
      <c r="D213" s="2" t="s">
        <v>14</v>
      </c>
      <c r="E213" s="2">
        <v>40000</v>
      </c>
      <c r="F213" s="4" t="s">
        <v>20</v>
      </c>
      <c r="G213" s="11" t="s">
        <v>289</v>
      </c>
      <c r="H213" s="11" t="s">
        <v>35</v>
      </c>
      <c r="I213" s="2">
        <v>798</v>
      </c>
      <c r="J213" s="2">
        <v>12772</v>
      </c>
    </row>
    <row r="214" spans="1:10" x14ac:dyDescent="0.3">
      <c r="A214" s="2" t="s">
        <v>409</v>
      </c>
      <c r="B214" s="2" t="s">
        <v>410</v>
      </c>
      <c r="C214" s="2" t="s">
        <v>32</v>
      </c>
      <c r="D214" s="2" t="s">
        <v>14</v>
      </c>
      <c r="E214" s="2">
        <v>150000</v>
      </c>
      <c r="F214" s="4" t="s">
        <v>15</v>
      </c>
      <c r="G214" s="11" t="s">
        <v>289</v>
      </c>
      <c r="H214" s="11" t="s">
        <v>35</v>
      </c>
      <c r="I214" s="2">
        <v>2264</v>
      </c>
      <c r="J214" s="2">
        <v>20374</v>
      </c>
    </row>
    <row r="215" spans="1:10" x14ac:dyDescent="0.3">
      <c r="A215" s="2" t="s">
        <v>411</v>
      </c>
      <c r="B215" s="2" t="s">
        <v>412</v>
      </c>
      <c r="C215" s="2" t="s">
        <v>32</v>
      </c>
      <c r="D215" s="2" t="s">
        <v>14</v>
      </c>
      <c r="E215" s="2">
        <v>75000</v>
      </c>
      <c r="F215" s="4" t="s">
        <v>22</v>
      </c>
      <c r="G215" s="11" t="s">
        <v>289</v>
      </c>
      <c r="H215" s="11" t="s">
        <v>35</v>
      </c>
      <c r="I215" s="2">
        <v>3163</v>
      </c>
      <c r="J215" s="2">
        <v>44276</v>
      </c>
    </row>
    <row r="216" spans="1:10" x14ac:dyDescent="0.3">
      <c r="A216" s="2" t="s">
        <v>413</v>
      </c>
      <c r="B216" s="2" t="s">
        <v>12</v>
      </c>
      <c r="C216" s="2" t="s">
        <v>13</v>
      </c>
      <c r="D216" s="2" t="s">
        <v>19</v>
      </c>
      <c r="E216" s="2">
        <v>70000</v>
      </c>
      <c r="F216" s="4" t="s">
        <v>15</v>
      </c>
      <c r="G216" s="11" t="s">
        <v>28</v>
      </c>
      <c r="H216" s="11" t="s">
        <v>29</v>
      </c>
      <c r="I216" s="2">
        <v>13484</v>
      </c>
      <c r="J216" s="2">
        <v>202265</v>
      </c>
    </row>
    <row r="217" spans="1:10" x14ac:dyDescent="0.3">
      <c r="A217" s="2" t="s">
        <v>414</v>
      </c>
      <c r="B217" s="2" t="s">
        <v>415</v>
      </c>
      <c r="C217" s="2" t="s">
        <v>32</v>
      </c>
      <c r="D217" s="2" t="s">
        <v>14</v>
      </c>
      <c r="E217" s="2">
        <v>150000</v>
      </c>
      <c r="F217" s="4" t="s">
        <v>22</v>
      </c>
      <c r="G217" s="11" t="s">
        <v>289</v>
      </c>
      <c r="H217" s="11" t="s">
        <v>35</v>
      </c>
      <c r="I217" s="2">
        <v>7899</v>
      </c>
      <c r="J217" s="2">
        <v>86888</v>
      </c>
    </row>
    <row r="218" spans="1:10" x14ac:dyDescent="0.3">
      <c r="A218" s="2" t="s">
        <v>416</v>
      </c>
      <c r="B218" s="2" t="s">
        <v>417</v>
      </c>
      <c r="C218" s="2" t="s">
        <v>32</v>
      </c>
      <c r="D218" s="2" t="s">
        <v>14</v>
      </c>
      <c r="E218" s="2">
        <v>35000</v>
      </c>
      <c r="F218" s="4" t="s">
        <v>15</v>
      </c>
      <c r="G218" s="11" t="s">
        <v>289</v>
      </c>
      <c r="H218" s="11" t="s">
        <v>35</v>
      </c>
      <c r="I218" s="2">
        <v>786</v>
      </c>
      <c r="J218" s="2">
        <v>5499</v>
      </c>
    </row>
    <row r="219" spans="1:10" x14ac:dyDescent="0.3">
      <c r="A219" s="2" t="s">
        <v>418</v>
      </c>
      <c r="B219" s="2" t="s">
        <v>12</v>
      </c>
      <c r="C219" s="2" t="s">
        <v>32</v>
      </c>
      <c r="D219" s="2" t="s">
        <v>14</v>
      </c>
      <c r="E219" s="2">
        <v>85000</v>
      </c>
      <c r="F219" s="4" t="s">
        <v>15</v>
      </c>
      <c r="G219" s="11" t="s">
        <v>289</v>
      </c>
      <c r="H219" s="11" t="s">
        <v>35</v>
      </c>
      <c r="I219" s="2">
        <v>2274</v>
      </c>
      <c r="J219" s="2">
        <v>52306</v>
      </c>
    </row>
    <row r="220" spans="1:10" x14ac:dyDescent="0.3">
      <c r="A220" s="2" t="s">
        <v>419</v>
      </c>
      <c r="B220" s="2" t="s">
        <v>420</v>
      </c>
      <c r="C220" s="2" t="s">
        <v>32</v>
      </c>
      <c r="D220" s="2" t="s">
        <v>14</v>
      </c>
      <c r="E220" s="2">
        <v>41000</v>
      </c>
      <c r="F220" s="4" t="s">
        <v>15</v>
      </c>
      <c r="G220" s="11" t="s">
        <v>289</v>
      </c>
      <c r="H220" s="11" t="s">
        <v>35</v>
      </c>
      <c r="I220" s="2">
        <v>2735</v>
      </c>
      <c r="J220" s="2">
        <v>41019</v>
      </c>
    </row>
    <row r="221" spans="1:10" x14ac:dyDescent="0.3">
      <c r="A221" s="2" t="s">
        <v>421</v>
      </c>
      <c r="B221" s="2" t="s">
        <v>336</v>
      </c>
      <c r="C221" s="2" t="s">
        <v>32</v>
      </c>
      <c r="D221" s="2" t="s">
        <v>14</v>
      </c>
      <c r="E221" s="2">
        <v>39500</v>
      </c>
      <c r="F221" s="4" t="s">
        <v>20</v>
      </c>
      <c r="G221" s="11" t="s">
        <v>289</v>
      </c>
      <c r="H221" s="11" t="s">
        <v>35</v>
      </c>
      <c r="I221" s="2">
        <v>2000</v>
      </c>
      <c r="J221" s="2">
        <v>17997</v>
      </c>
    </row>
    <row r="222" spans="1:10" x14ac:dyDescent="0.3">
      <c r="A222" s="2" t="s">
        <v>422</v>
      </c>
      <c r="B222" s="2" t="s">
        <v>423</v>
      </c>
      <c r="C222" s="2" t="s">
        <v>32</v>
      </c>
      <c r="D222" s="2" t="s">
        <v>14</v>
      </c>
      <c r="E222" s="2">
        <v>49000</v>
      </c>
      <c r="F222" s="4" t="s">
        <v>20</v>
      </c>
      <c r="G222" s="11" t="s">
        <v>289</v>
      </c>
      <c r="H222" s="11" t="s">
        <v>35</v>
      </c>
      <c r="I222" s="2">
        <v>4623</v>
      </c>
      <c r="J222" s="2">
        <v>73967</v>
      </c>
    </row>
    <row r="223" spans="1:10" x14ac:dyDescent="0.3">
      <c r="A223" s="2" t="s">
        <v>424</v>
      </c>
      <c r="B223" s="2" t="s">
        <v>425</v>
      </c>
      <c r="C223" s="2" t="s">
        <v>32</v>
      </c>
      <c r="D223" s="2" t="s">
        <v>14</v>
      </c>
      <c r="E223" s="2">
        <v>120000</v>
      </c>
      <c r="F223" s="4" t="s">
        <v>22</v>
      </c>
      <c r="G223" s="11" t="s">
        <v>289</v>
      </c>
      <c r="H223" s="11" t="s">
        <v>35</v>
      </c>
      <c r="I223" s="2">
        <v>513</v>
      </c>
      <c r="J223" s="2">
        <v>1025</v>
      </c>
    </row>
    <row r="224" spans="1:10" x14ac:dyDescent="0.3">
      <c r="A224" s="2" t="s">
        <v>426</v>
      </c>
      <c r="B224" s="2" t="s">
        <v>12</v>
      </c>
      <c r="C224" s="2" t="s">
        <v>32</v>
      </c>
      <c r="D224" s="2" t="s">
        <v>14</v>
      </c>
      <c r="E224" s="2">
        <v>150000</v>
      </c>
      <c r="F224" s="4" t="s">
        <v>22</v>
      </c>
      <c r="G224" s="11" t="s">
        <v>289</v>
      </c>
      <c r="H224" s="11" t="s">
        <v>35</v>
      </c>
      <c r="I224" s="2">
        <v>3990</v>
      </c>
      <c r="J224" s="2">
        <v>47880</v>
      </c>
    </row>
    <row r="225" spans="1:10" x14ac:dyDescent="0.3">
      <c r="A225" s="2" t="s">
        <v>427</v>
      </c>
      <c r="B225" s="2" t="s">
        <v>105</v>
      </c>
      <c r="C225" s="2" t="s">
        <v>32</v>
      </c>
      <c r="D225" s="2" t="s">
        <v>19</v>
      </c>
      <c r="E225" s="2">
        <v>52000</v>
      </c>
      <c r="F225" s="4" t="s">
        <v>22</v>
      </c>
      <c r="G225" s="11" t="s">
        <v>289</v>
      </c>
      <c r="H225" s="11" t="s">
        <v>35</v>
      </c>
      <c r="I225" s="2">
        <v>2163</v>
      </c>
      <c r="J225" s="2">
        <v>30278</v>
      </c>
    </row>
    <row r="226" spans="1:10" x14ac:dyDescent="0.3">
      <c r="A226" s="2" t="s">
        <v>428</v>
      </c>
      <c r="B226" s="2" t="s">
        <v>429</v>
      </c>
      <c r="C226" s="2" t="s">
        <v>32</v>
      </c>
      <c r="D226" s="2" t="s">
        <v>14</v>
      </c>
      <c r="E226" s="2">
        <v>24000</v>
      </c>
      <c r="F226" s="4" t="s">
        <v>20</v>
      </c>
      <c r="G226" s="11" t="s">
        <v>289</v>
      </c>
      <c r="H226" s="11" t="s">
        <v>35</v>
      </c>
      <c r="I226" s="2">
        <v>1715</v>
      </c>
      <c r="J226" s="2">
        <v>10292</v>
      </c>
    </row>
    <row r="227" spans="1:10" x14ac:dyDescent="0.3">
      <c r="A227" s="2" t="s">
        <v>430</v>
      </c>
      <c r="B227" s="2" t="s">
        <v>12</v>
      </c>
      <c r="C227" s="2" t="s">
        <v>13</v>
      </c>
      <c r="D227" s="2" t="s">
        <v>14</v>
      </c>
      <c r="E227" s="2">
        <v>95000</v>
      </c>
      <c r="F227" s="4" t="s">
        <v>15</v>
      </c>
      <c r="G227" s="11" t="s">
        <v>25</v>
      </c>
      <c r="H227" s="11" t="s">
        <v>26</v>
      </c>
      <c r="I227" s="2">
        <v>3946</v>
      </c>
      <c r="J227" s="2">
        <v>27624</v>
      </c>
    </row>
    <row r="228" spans="1:10" x14ac:dyDescent="0.3">
      <c r="A228" s="2" t="s">
        <v>431</v>
      </c>
      <c r="B228" s="2" t="s">
        <v>12</v>
      </c>
      <c r="C228" s="2" t="s">
        <v>13</v>
      </c>
      <c r="D228" s="2" t="s">
        <v>19</v>
      </c>
      <c r="E228" s="2">
        <v>40000</v>
      </c>
      <c r="F228" s="4" t="s">
        <v>20</v>
      </c>
      <c r="G228" s="11" t="s">
        <v>432</v>
      </c>
      <c r="H228" s="11" t="s">
        <v>29</v>
      </c>
      <c r="I228" s="2">
        <v>5288</v>
      </c>
      <c r="J228" s="2">
        <v>31727</v>
      </c>
    </row>
    <row r="229" spans="1:10" x14ac:dyDescent="0.3">
      <c r="A229" s="2" t="s">
        <v>433</v>
      </c>
      <c r="B229" s="2" t="s">
        <v>434</v>
      </c>
      <c r="C229" s="2" t="s">
        <v>32</v>
      </c>
      <c r="D229" s="2" t="s">
        <v>33</v>
      </c>
      <c r="E229" s="2">
        <v>55000</v>
      </c>
      <c r="F229" s="4" t="s">
        <v>20</v>
      </c>
      <c r="G229" s="11" t="s">
        <v>289</v>
      </c>
      <c r="H229" s="11" t="s">
        <v>35</v>
      </c>
      <c r="I229" s="2">
        <v>494</v>
      </c>
      <c r="J229" s="2">
        <v>5925</v>
      </c>
    </row>
    <row r="230" spans="1:10" x14ac:dyDescent="0.3">
      <c r="A230" s="2" t="s">
        <v>435</v>
      </c>
      <c r="B230" s="2" t="s">
        <v>51</v>
      </c>
      <c r="C230" s="2" t="s">
        <v>32</v>
      </c>
      <c r="D230" s="2" t="s">
        <v>33</v>
      </c>
      <c r="E230" s="2">
        <v>40000</v>
      </c>
      <c r="F230" s="4" t="s">
        <v>22</v>
      </c>
      <c r="G230" s="11" t="s">
        <v>289</v>
      </c>
      <c r="H230" s="11" t="s">
        <v>35</v>
      </c>
      <c r="I230" s="2">
        <v>2482</v>
      </c>
      <c r="J230" s="2">
        <v>27302</v>
      </c>
    </row>
    <row r="231" spans="1:10" x14ac:dyDescent="0.3">
      <c r="A231" s="2" t="s">
        <v>436</v>
      </c>
      <c r="B231" s="2" t="s">
        <v>437</v>
      </c>
      <c r="C231" s="2" t="s">
        <v>32</v>
      </c>
      <c r="D231" s="2" t="s">
        <v>14</v>
      </c>
      <c r="E231" s="2">
        <v>52500</v>
      </c>
      <c r="F231" s="4" t="s">
        <v>15</v>
      </c>
      <c r="G231" s="11" t="s">
        <v>289</v>
      </c>
      <c r="H231" s="11" t="s">
        <v>35</v>
      </c>
      <c r="I231" s="2">
        <v>2743</v>
      </c>
      <c r="J231" s="2">
        <v>35653</v>
      </c>
    </row>
    <row r="232" spans="1:10" x14ac:dyDescent="0.3">
      <c r="A232" s="2" t="s">
        <v>438</v>
      </c>
      <c r="B232" s="2" t="s">
        <v>439</v>
      </c>
      <c r="C232" s="2" t="s">
        <v>32</v>
      </c>
      <c r="D232" s="2" t="s">
        <v>33</v>
      </c>
      <c r="E232" s="2">
        <v>45000</v>
      </c>
      <c r="F232" s="4" t="s">
        <v>20</v>
      </c>
      <c r="G232" s="11" t="s">
        <v>289</v>
      </c>
      <c r="H232" s="11" t="s">
        <v>35</v>
      </c>
      <c r="I232" s="2">
        <v>2927</v>
      </c>
      <c r="J232" s="2">
        <v>11709</v>
      </c>
    </row>
    <row r="233" spans="1:10" x14ac:dyDescent="0.3">
      <c r="A233" s="2" t="s">
        <v>440</v>
      </c>
      <c r="B233" s="2" t="s">
        <v>441</v>
      </c>
      <c r="C233" s="2" t="s">
        <v>32</v>
      </c>
      <c r="D233" s="2" t="s">
        <v>14</v>
      </c>
      <c r="E233" s="2">
        <v>42800</v>
      </c>
      <c r="F233" s="4" t="s">
        <v>15</v>
      </c>
      <c r="G233" s="11" t="s">
        <v>289</v>
      </c>
      <c r="H233" s="11" t="s">
        <v>35</v>
      </c>
      <c r="I233" s="2">
        <v>3194</v>
      </c>
      <c r="J233" s="2">
        <v>35130</v>
      </c>
    </row>
    <row r="234" spans="1:10" x14ac:dyDescent="0.3">
      <c r="A234" s="2" t="s">
        <v>442</v>
      </c>
      <c r="B234" s="2" t="s">
        <v>39</v>
      </c>
      <c r="C234" s="2" t="s">
        <v>32</v>
      </c>
      <c r="D234" s="2" t="s">
        <v>14</v>
      </c>
      <c r="E234" s="2">
        <v>55000</v>
      </c>
      <c r="F234" s="4" t="s">
        <v>20</v>
      </c>
      <c r="G234" s="11" t="s">
        <v>289</v>
      </c>
      <c r="H234" s="11" t="s">
        <v>35</v>
      </c>
      <c r="I234" s="2">
        <v>2768</v>
      </c>
      <c r="J234" s="2">
        <v>8304</v>
      </c>
    </row>
    <row r="235" spans="1:10" x14ac:dyDescent="0.3">
      <c r="A235" s="2" t="s">
        <v>443</v>
      </c>
      <c r="B235" s="2" t="s">
        <v>444</v>
      </c>
      <c r="C235" s="2" t="s">
        <v>32</v>
      </c>
      <c r="D235" s="2" t="s">
        <v>14</v>
      </c>
      <c r="E235" s="2">
        <v>63000</v>
      </c>
      <c r="F235" s="4" t="s">
        <v>15</v>
      </c>
      <c r="G235" s="11" t="s">
        <v>289</v>
      </c>
      <c r="H235" s="11" t="s">
        <v>35</v>
      </c>
      <c r="I235" s="2">
        <v>2537</v>
      </c>
      <c r="J235" s="2">
        <v>12683</v>
      </c>
    </row>
    <row r="236" spans="1:10" x14ac:dyDescent="0.3">
      <c r="A236" s="2" t="s">
        <v>445</v>
      </c>
      <c r="B236" s="2" t="s">
        <v>446</v>
      </c>
      <c r="C236" s="2" t="s">
        <v>32</v>
      </c>
      <c r="D236" s="2" t="s">
        <v>14</v>
      </c>
      <c r="E236" s="2">
        <v>35000</v>
      </c>
      <c r="F236" s="4" t="s">
        <v>22</v>
      </c>
      <c r="G236" s="11" t="s">
        <v>289</v>
      </c>
      <c r="H236" s="11" t="s">
        <v>35</v>
      </c>
      <c r="I236" s="2">
        <v>5860</v>
      </c>
      <c r="J236" s="2">
        <v>41018</v>
      </c>
    </row>
    <row r="237" spans="1:10" x14ac:dyDescent="0.3">
      <c r="A237" s="2" t="s">
        <v>447</v>
      </c>
      <c r="B237" s="2" t="s">
        <v>448</v>
      </c>
      <c r="C237" s="2" t="s">
        <v>32</v>
      </c>
      <c r="D237" s="2" t="s">
        <v>14</v>
      </c>
      <c r="E237" s="2">
        <v>82000</v>
      </c>
      <c r="F237" s="4" t="s">
        <v>20</v>
      </c>
      <c r="G237" s="11" t="s">
        <v>289</v>
      </c>
      <c r="H237" s="11" t="s">
        <v>35</v>
      </c>
      <c r="I237" s="2">
        <v>1378</v>
      </c>
      <c r="J237" s="2">
        <v>9648</v>
      </c>
    </row>
    <row r="238" spans="1:10" x14ac:dyDescent="0.3">
      <c r="A238" s="2" t="s">
        <v>449</v>
      </c>
      <c r="B238" s="2" t="s">
        <v>450</v>
      </c>
      <c r="C238" s="2" t="s">
        <v>32</v>
      </c>
      <c r="D238" s="2" t="s">
        <v>14</v>
      </c>
      <c r="E238" s="2">
        <v>14600</v>
      </c>
      <c r="F238" s="4" t="s">
        <v>22</v>
      </c>
      <c r="G238" s="11" t="s">
        <v>289</v>
      </c>
      <c r="H238" s="11" t="s">
        <v>35</v>
      </c>
      <c r="I238" s="2">
        <v>1098</v>
      </c>
      <c r="J238" s="2">
        <v>12077</v>
      </c>
    </row>
    <row r="239" spans="1:10" x14ac:dyDescent="0.3">
      <c r="A239" s="2" t="s">
        <v>451</v>
      </c>
      <c r="B239" s="2" t="s">
        <v>12</v>
      </c>
      <c r="C239" s="2" t="s">
        <v>13</v>
      </c>
      <c r="D239" s="2" t="s">
        <v>14</v>
      </c>
      <c r="E239" s="2">
        <v>60000</v>
      </c>
      <c r="F239" s="4" t="s">
        <v>15</v>
      </c>
      <c r="G239" s="11" t="s">
        <v>432</v>
      </c>
      <c r="H239" s="11" t="s">
        <v>29</v>
      </c>
      <c r="I239" s="2">
        <v>2717</v>
      </c>
      <c r="J239" s="2">
        <v>40760</v>
      </c>
    </row>
    <row r="240" spans="1:10" x14ac:dyDescent="0.3">
      <c r="A240" s="2" t="s">
        <v>452</v>
      </c>
      <c r="B240" s="2" t="s">
        <v>453</v>
      </c>
      <c r="C240" s="2" t="s">
        <v>32</v>
      </c>
      <c r="D240" s="2" t="s">
        <v>33</v>
      </c>
      <c r="E240" s="2">
        <v>30000</v>
      </c>
      <c r="F240" s="4" t="s">
        <v>22</v>
      </c>
      <c r="G240" s="11" t="s">
        <v>289</v>
      </c>
      <c r="H240" s="11" t="s">
        <v>35</v>
      </c>
      <c r="I240" s="2">
        <v>2455</v>
      </c>
      <c r="J240" s="2">
        <v>24547</v>
      </c>
    </row>
    <row r="241" spans="1:10" x14ac:dyDescent="0.3">
      <c r="A241" s="2" t="s">
        <v>454</v>
      </c>
      <c r="B241" s="2" t="s">
        <v>455</v>
      </c>
      <c r="C241" s="2" t="s">
        <v>32</v>
      </c>
      <c r="D241" s="2" t="s">
        <v>14</v>
      </c>
      <c r="E241" s="2">
        <v>62000</v>
      </c>
      <c r="F241" s="4" t="s">
        <v>22</v>
      </c>
      <c r="G241" s="11" t="s">
        <v>289</v>
      </c>
      <c r="H241" s="11" t="s">
        <v>35</v>
      </c>
      <c r="I241" s="2">
        <v>2173</v>
      </c>
      <c r="J241" s="2">
        <v>19553</v>
      </c>
    </row>
    <row r="242" spans="1:10" x14ac:dyDescent="0.3">
      <c r="A242" s="2" t="s">
        <v>456</v>
      </c>
      <c r="B242" s="2" t="s">
        <v>457</v>
      </c>
      <c r="C242" s="2" t="s">
        <v>32</v>
      </c>
      <c r="D242" s="2" t="s">
        <v>33</v>
      </c>
      <c r="E242" s="2">
        <v>25000</v>
      </c>
      <c r="F242" s="4" t="s">
        <v>20</v>
      </c>
      <c r="G242" s="11" t="s">
        <v>289</v>
      </c>
      <c r="H242" s="11" t="s">
        <v>35</v>
      </c>
      <c r="I242" s="2">
        <v>2472</v>
      </c>
      <c r="J242" s="2">
        <v>14830</v>
      </c>
    </row>
    <row r="243" spans="1:10" x14ac:dyDescent="0.3">
      <c r="A243" s="2" t="s">
        <v>458</v>
      </c>
      <c r="B243" s="2" t="s">
        <v>120</v>
      </c>
      <c r="C243" s="2" t="s">
        <v>32</v>
      </c>
      <c r="D243" s="2" t="s">
        <v>14</v>
      </c>
      <c r="E243" s="2">
        <v>95000</v>
      </c>
      <c r="F243" s="4" t="s">
        <v>22</v>
      </c>
      <c r="G243" s="11" t="s">
        <v>289</v>
      </c>
      <c r="H243" s="11" t="s">
        <v>35</v>
      </c>
      <c r="I243" s="2">
        <v>9656</v>
      </c>
      <c r="J243" s="2">
        <v>212423</v>
      </c>
    </row>
    <row r="244" spans="1:10" x14ac:dyDescent="0.3">
      <c r="A244" s="2" t="s">
        <v>459</v>
      </c>
      <c r="B244" s="2" t="s">
        <v>105</v>
      </c>
      <c r="C244" s="2" t="s">
        <v>32</v>
      </c>
      <c r="D244" s="2" t="s">
        <v>14</v>
      </c>
      <c r="E244" s="2">
        <v>84000</v>
      </c>
      <c r="F244" s="4" t="s">
        <v>20</v>
      </c>
      <c r="G244" s="11" t="s">
        <v>289</v>
      </c>
      <c r="H244" s="11" t="s">
        <v>35</v>
      </c>
      <c r="I244" s="2">
        <v>7198</v>
      </c>
      <c r="J244" s="2">
        <v>93570</v>
      </c>
    </row>
    <row r="245" spans="1:10" x14ac:dyDescent="0.3">
      <c r="A245" s="2" t="s">
        <v>460</v>
      </c>
      <c r="B245" s="2" t="s">
        <v>120</v>
      </c>
      <c r="C245" s="2" t="s">
        <v>32</v>
      </c>
      <c r="D245" s="2" t="s">
        <v>14</v>
      </c>
      <c r="E245" s="2">
        <v>80000</v>
      </c>
      <c r="F245" s="4" t="s">
        <v>15</v>
      </c>
      <c r="G245" s="11" t="s">
        <v>289</v>
      </c>
      <c r="H245" s="11" t="s">
        <v>35</v>
      </c>
      <c r="I245" s="2">
        <v>3938</v>
      </c>
      <c r="J245" s="2">
        <v>23626</v>
      </c>
    </row>
    <row r="246" spans="1:10" x14ac:dyDescent="0.3">
      <c r="A246" s="2" t="s">
        <v>461</v>
      </c>
      <c r="B246" s="2" t="s">
        <v>462</v>
      </c>
      <c r="C246" s="2" t="s">
        <v>32</v>
      </c>
      <c r="D246" s="2" t="s">
        <v>14</v>
      </c>
      <c r="E246" s="2">
        <v>110000</v>
      </c>
      <c r="F246" s="4" t="s">
        <v>22</v>
      </c>
      <c r="G246" s="11" t="s">
        <v>289</v>
      </c>
      <c r="H246" s="11" t="s">
        <v>35</v>
      </c>
      <c r="I246" s="2">
        <v>3970</v>
      </c>
      <c r="J246" s="2">
        <v>31757</v>
      </c>
    </row>
    <row r="247" spans="1:10" x14ac:dyDescent="0.3">
      <c r="A247" s="2" t="s">
        <v>463</v>
      </c>
      <c r="B247" s="2" t="s">
        <v>120</v>
      </c>
      <c r="C247" s="2" t="s">
        <v>32</v>
      </c>
      <c r="D247" s="2" t="s">
        <v>33</v>
      </c>
      <c r="E247" s="2">
        <v>60000</v>
      </c>
      <c r="F247" s="4" t="s">
        <v>22</v>
      </c>
      <c r="G247" s="11" t="s">
        <v>289</v>
      </c>
      <c r="H247" s="11" t="s">
        <v>35</v>
      </c>
      <c r="I247" s="2">
        <v>4905</v>
      </c>
      <c r="J247" s="2">
        <v>73570</v>
      </c>
    </row>
    <row r="248" spans="1:10" x14ac:dyDescent="0.3">
      <c r="A248" s="2" t="s">
        <v>464</v>
      </c>
      <c r="B248" s="2" t="s">
        <v>465</v>
      </c>
      <c r="C248" s="2" t="s">
        <v>32</v>
      </c>
      <c r="D248" s="2" t="s">
        <v>33</v>
      </c>
      <c r="E248" s="2">
        <v>80000</v>
      </c>
      <c r="F248" s="4" t="s">
        <v>15</v>
      </c>
      <c r="G248" s="11" t="s">
        <v>289</v>
      </c>
      <c r="H248" s="11" t="s">
        <v>35</v>
      </c>
      <c r="I248" s="2">
        <v>3515</v>
      </c>
      <c r="J248" s="2">
        <v>45699</v>
      </c>
    </row>
    <row r="249" spans="1:10" x14ac:dyDescent="0.3">
      <c r="A249" s="2" t="s">
        <v>466</v>
      </c>
      <c r="B249" s="2" t="s">
        <v>467</v>
      </c>
      <c r="C249" s="2" t="s">
        <v>32</v>
      </c>
      <c r="D249" s="2" t="s">
        <v>14</v>
      </c>
      <c r="E249" s="2">
        <v>54000</v>
      </c>
      <c r="F249" s="4" t="s">
        <v>20</v>
      </c>
      <c r="G249" s="11" t="s">
        <v>289</v>
      </c>
      <c r="H249" s="11" t="s">
        <v>35</v>
      </c>
      <c r="I249" s="2">
        <v>915</v>
      </c>
      <c r="J249" s="2">
        <v>4574</v>
      </c>
    </row>
    <row r="250" spans="1:10" x14ac:dyDescent="0.3">
      <c r="A250" s="2" t="s">
        <v>468</v>
      </c>
      <c r="B250" s="2" t="s">
        <v>12</v>
      </c>
      <c r="C250" s="2" t="s">
        <v>13</v>
      </c>
      <c r="D250" s="2" t="s">
        <v>14</v>
      </c>
      <c r="E250" s="2">
        <v>33500</v>
      </c>
      <c r="F250" s="4" t="s">
        <v>22</v>
      </c>
      <c r="G250" s="11" t="s">
        <v>432</v>
      </c>
      <c r="H250" s="11" t="s">
        <v>29</v>
      </c>
      <c r="I250" s="2">
        <v>2331</v>
      </c>
      <c r="J250" s="2">
        <v>13988</v>
      </c>
    </row>
    <row r="251" spans="1:10" x14ac:dyDescent="0.3">
      <c r="A251" s="2" t="s">
        <v>469</v>
      </c>
      <c r="B251" s="2" t="s">
        <v>470</v>
      </c>
      <c r="C251" s="2" t="s">
        <v>32</v>
      </c>
      <c r="D251" s="2" t="s">
        <v>19</v>
      </c>
      <c r="E251" s="2">
        <v>65000</v>
      </c>
      <c r="F251" s="4" t="s">
        <v>20</v>
      </c>
      <c r="G251" s="11" t="s">
        <v>289</v>
      </c>
      <c r="H251" s="11" t="s">
        <v>35</v>
      </c>
      <c r="I251" s="2">
        <v>18429</v>
      </c>
      <c r="J251" s="2">
        <v>294858</v>
      </c>
    </row>
    <row r="252" spans="1:10" x14ac:dyDescent="0.3">
      <c r="A252" s="2" t="s">
        <v>471</v>
      </c>
      <c r="B252" s="2" t="s">
        <v>408</v>
      </c>
      <c r="C252" s="2" t="s">
        <v>32</v>
      </c>
      <c r="D252" s="2" t="s">
        <v>14</v>
      </c>
      <c r="E252" s="2">
        <v>50000</v>
      </c>
      <c r="F252" s="4" t="s">
        <v>20</v>
      </c>
      <c r="G252" s="11" t="s">
        <v>289</v>
      </c>
      <c r="H252" s="11" t="s">
        <v>35</v>
      </c>
      <c r="I252" s="2">
        <v>976</v>
      </c>
      <c r="J252" s="2">
        <v>15617</v>
      </c>
    </row>
    <row r="253" spans="1:10" x14ac:dyDescent="0.3">
      <c r="A253" s="2" t="s">
        <v>472</v>
      </c>
      <c r="B253" s="2" t="s">
        <v>473</v>
      </c>
      <c r="C253" s="2" t="s">
        <v>32</v>
      </c>
      <c r="D253" s="2" t="s">
        <v>14</v>
      </c>
      <c r="E253" s="2">
        <v>45000</v>
      </c>
      <c r="F253" s="4" t="s">
        <v>20</v>
      </c>
      <c r="G253" s="11" t="s">
        <v>289</v>
      </c>
      <c r="H253" s="11" t="s">
        <v>35</v>
      </c>
      <c r="I253" s="2">
        <v>754</v>
      </c>
      <c r="J253" s="2">
        <v>3770</v>
      </c>
    </row>
    <row r="254" spans="1:10" x14ac:dyDescent="0.3">
      <c r="A254" s="2" t="s">
        <v>474</v>
      </c>
      <c r="B254" s="2" t="s">
        <v>475</v>
      </c>
      <c r="C254" s="2" t="s">
        <v>32</v>
      </c>
      <c r="D254" s="2" t="s">
        <v>19</v>
      </c>
      <c r="E254" s="2">
        <v>9300086</v>
      </c>
      <c r="F254" s="4" t="s">
        <v>20</v>
      </c>
      <c r="G254" s="11" t="s">
        <v>289</v>
      </c>
      <c r="H254" s="11" t="s">
        <v>35</v>
      </c>
      <c r="I254" s="2">
        <v>27919</v>
      </c>
      <c r="J254" s="2">
        <v>614223</v>
      </c>
    </row>
    <row r="255" spans="1:10" x14ac:dyDescent="0.3">
      <c r="A255" s="2" t="s">
        <v>476</v>
      </c>
      <c r="B255" s="2" t="s">
        <v>477</v>
      </c>
      <c r="C255" s="2" t="s">
        <v>32</v>
      </c>
      <c r="D255" s="2" t="s">
        <v>14</v>
      </c>
      <c r="E255" s="2">
        <v>75000</v>
      </c>
      <c r="F255" s="4" t="s">
        <v>20</v>
      </c>
      <c r="G255" s="11" t="s">
        <v>289</v>
      </c>
      <c r="H255" s="11" t="s">
        <v>35</v>
      </c>
      <c r="I255" s="2">
        <v>2269</v>
      </c>
      <c r="J255" s="2">
        <v>15883</v>
      </c>
    </row>
    <row r="256" spans="1:10" x14ac:dyDescent="0.3">
      <c r="A256" s="2" t="s">
        <v>478</v>
      </c>
      <c r="B256" s="2" t="s">
        <v>479</v>
      </c>
      <c r="C256" s="2" t="s">
        <v>32</v>
      </c>
      <c r="D256" s="2" t="s">
        <v>14</v>
      </c>
      <c r="E256" s="2">
        <v>55000</v>
      </c>
      <c r="F256" s="4" t="s">
        <v>20</v>
      </c>
      <c r="G256" s="11" t="s">
        <v>289</v>
      </c>
      <c r="H256" s="11" t="s">
        <v>35</v>
      </c>
      <c r="I256" s="2">
        <v>588</v>
      </c>
      <c r="J256" s="2">
        <v>7058</v>
      </c>
    </row>
    <row r="257" spans="1:10" x14ac:dyDescent="0.3">
      <c r="A257" s="2" t="s">
        <v>480</v>
      </c>
      <c r="B257" s="2" t="s">
        <v>481</v>
      </c>
      <c r="C257" s="2" t="s">
        <v>32</v>
      </c>
      <c r="D257" s="2" t="s">
        <v>14</v>
      </c>
      <c r="E257" s="2">
        <v>38000</v>
      </c>
      <c r="F257" s="4" t="s">
        <v>22</v>
      </c>
      <c r="G257" s="11" t="s">
        <v>289</v>
      </c>
      <c r="H257" s="11" t="s">
        <v>35</v>
      </c>
      <c r="I257" s="2">
        <v>3186</v>
      </c>
      <c r="J257" s="2">
        <v>79658</v>
      </c>
    </row>
    <row r="258" spans="1:10" x14ac:dyDescent="0.3">
      <c r="A258" s="2" t="s">
        <v>482</v>
      </c>
      <c r="B258" s="2" t="s">
        <v>483</v>
      </c>
      <c r="C258" s="2" t="s">
        <v>32</v>
      </c>
      <c r="D258" s="2" t="s">
        <v>14</v>
      </c>
      <c r="E258" s="2">
        <v>67000</v>
      </c>
      <c r="F258" s="4" t="s">
        <v>15</v>
      </c>
      <c r="G258" s="11" t="s">
        <v>289</v>
      </c>
      <c r="H258" s="11" t="s">
        <v>35</v>
      </c>
      <c r="I258" s="2">
        <v>3776</v>
      </c>
      <c r="J258" s="2">
        <v>45311</v>
      </c>
    </row>
    <row r="259" spans="1:10" x14ac:dyDescent="0.3">
      <c r="A259" s="2" t="s">
        <v>484</v>
      </c>
      <c r="B259" s="2" t="s">
        <v>485</v>
      </c>
      <c r="C259" s="2" t="s">
        <v>32</v>
      </c>
      <c r="D259" s="2" t="s">
        <v>14</v>
      </c>
      <c r="E259" s="2">
        <v>65000</v>
      </c>
      <c r="F259" s="4" t="s">
        <v>20</v>
      </c>
      <c r="G259" s="11" t="s">
        <v>289</v>
      </c>
      <c r="H259" s="11" t="s">
        <v>35</v>
      </c>
      <c r="I259" s="2">
        <v>6290</v>
      </c>
      <c r="J259" s="2">
        <v>50320</v>
      </c>
    </row>
    <row r="260" spans="1:10" x14ac:dyDescent="0.3">
      <c r="A260" s="2" t="s">
        <v>486</v>
      </c>
      <c r="B260" s="2" t="s">
        <v>487</v>
      </c>
      <c r="C260" s="2" t="s">
        <v>32</v>
      </c>
      <c r="D260" s="2" t="s">
        <v>14</v>
      </c>
      <c r="E260" s="2">
        <v>42000</v>
      </c>
      <c r="F260" s="4" t="s">
        <v>22</v>
      </c>
      <c r="G260" s="11" t="s">
        <v>289</v>
      </c>
      <c r="H260" s="11" t="s">
        <v>35</v>
      </c>
      <c r="I260" s="2">
        <v>2443</v>
      </c>
      <c r="J260" s="2">
        <v>24433</v>
      </c>
    </row>
    <row r="261" spans="1:10" x14ac:dyDescent="0.3">
      <c r="A261" s="2" t="s">
        <v>488</v>
      </c>
      <c r="B261" s="2" t="s">
        <v>12</v>
      </c>
      <c r="C261" s="2" t="s">
        <v>13</v>
      </c>
      <c r="D261" s="2" t="s">
        <v>33</v>
      </c>
      <c r="E261" s="2">
        <v>80000</v>
      </c>
      <c r="F261" s="4" t="s">
        <v>15</v>
      </c>
      <c r="G261" s="11" t="s">
        <v>432</v>
      </c>
      <c r="H261" s="11" t="s">
        <v>29</v>
      </c>
      <c r="I261" s="2">
        <v>27744</v>
      </c>
      <c r="J261" s="2">
        <v>332926</v>
      </c>
    </row>
    <row r="262" spans="1:10" x14ac:dyDescent="0.3">
      <c r="A262" s="2" t="s">
        <v>489</v>
      </c>
      <c r="B262" s="2" t="s">
        <v>490</v>
      </c>
      <c r="C262" s="2" t="s">
        <v>32</v>
      </c>
      <c r="D262" s="2" t="s">
        <v>14</v>
      </c>
      <c r="E262" s="2">
        <v>60000</v>
      </c>
      <c r="F262" s="4" t="s">
        <v>22</v>
      </c>
      <c r="G262" s="11" t="s">
        <v>289</v>
      </c>
      <c r="H262" s="11" t="s">
        <v>35</v>
      </c>
      <c r="I262" s="2">
        <v>2032</v>
      </c>
      <c r="J262" s="2">
        <v>8126</v>
      </c>
    </row>
    <row r="263" spans="1:10" x14ac:dyDescent="0.3">
      <c r="A263" s="2" t="s">
        <v>491</v>
      </c>
      <c r="B263" s="2" t="s">
        <v>120</v>
      </c>
      <c r="C263" s="2" t="s">
        <v>32</v>
      </c>
      <c r="D263" s="2" t="s">
        <v>14</v>
      </c>
      <c r="E263" s="2">
        <v>68000</v>
      </c>
      <c r="F263" s="4" t="s">
        <v>22</v>
      </c>
      <c r="G263" s="11" t="s">
        <v>289</v>
      </c>
      <c r="H263" s="11" t="s">
        <v>35</v>
      </c>
      <c r="I263" s="2">
        <v>2892</v>
      </c>
      <c r="J263" s="2">
        <v>28920</v>
      </c>
    </row>
    <row r="264" spans="1:10" x14ac:dyDescent="0.3">
      <c r="A264" s="2" t="s">
        <v>492</v>
      </c>
      <c r="B264" s="2" t="s">
        <v>493</v>
      </c>
      <c r="C264" s="2" t="s">
        <v>32</v>
      </c>
      <c r="D264" s="2" t="s">
        <v>14</v>
      </c>
      <c r="E264" s="2">
        <v>158218</v>
      </c>
      <c r="F264" s="4" t="s">
        <v>20</v>
      </c>
      <c r="G264" s="11" t="s">
        <v>289</v>
      </c>
      <c r="H264" s="11" t="s">
        <v>35</v>
      </c>
      <c r="I264" s="2">
        <v>883</v>
      </c>
      <c r="J264" s="2">
        <v>6182</v>
      </c>
    </row>
    <row r="265" spans="1:10" x14ac:dyDescent="0.3">
      <c r="A265" s="2" t="s">
        <v>494</v>
      </c>
      <c r="B265" s="2" t="s">
        <v>495</v>
      </c>
      <c r="C265" s="2" t="s">
        <v>32</v>
      </c>
      <c r="D265" s="2" t="s">
        <v>14</v>
      </c>
      <c r="E265" s="2">
        <v>130000</v>
      </c>
      <c r="F265" s="4" t="s">
        <v>22</v>
      </c>
      <c r="G265" s="11" t="s">
        <v>289</v>
      </c>
      <c r="H265" s="11" t="s">
        <v>35</v>
      </c>
      <c r="I265" s="2">
        <v>1797</v>
      </c>
      <c r="J265" s="2">
        <v>21569</v>
      </c>
    </row>
    <row r="266" spans="1:10" x14ac:dyDescent="0.3">
      <c r="A266" s="2" t="s">
        <v>496</v>
      </c>
      <c r="B266" s="2" t="s">
        <v>497</v>
      </c>
      <c r="C266" s="2" t="s">
        <v>32</v>
      </c>
      <c r="D266" s="2" t="s">
        <v>19</v>
      </c>
      <c r="E266" s="2">
        <v>92000</v>
      </c>
      <c r="F266" s="4" t="s">
        <v>20</v>
      </c>
      <c r="G266" s="11" t="s">
        <v>289</v>
      </c>
      <c r="H266" s="11" t="s">
        <v>35</v>
      </c>
      <c r="I266" s="2">
        <v>56524</v>
      </c>
      <c r="J266" s="2">
        <v>621764</v>
      </c>
    </row>
    <row r="267" spans="1:10" x14ac:dyDescent="0.3">
      <c r="A267" s="2" t="s">
        <v>498</v>
      </c>
      <c r="B267" s="2" t="s">
        <v>499</v>
      </c>
      <c r="C267" s="2" t="s">
        <v>32</v>
      </c>
      <c r="D267" s="2" t="s">
        <v>14</v>
      </c>
      <c r="E267" s="2">
        <v>70000</v>
      </c>
      <c r="F267" s="4" t="s">
        <v>22</v>
      </c>
      <c r="G267" s="11" t="s">
        <v>289</v>
      </c>
      <c r="H267" s="11" t="s">
        <v>35</v>
      </c>
      <c r="I267" s="2">
        <v>6091</v>
      </c>
      <c r="J267" s="2">
        <v>79181</v>
      </c>
    </row>
    <row r="268" spans="1:10" x14ac:dyDescent="0.3">
      <c r="A268" s="2" t="s">
        <v>500</v>
      </c>
      <c r="B268" s="2" t="s">
        <v>501</v>
      </c>
      <c r="C268" s="2" t="s">
        <v>32</v>
      </c>
      <c r="D268" s="2" t="s">
        <v>33</v>
      </c>
      <c r="E268" s="2">
        <v>135000</v>
      </c>
      <c r="F268" s="4" t="s">
        <v>22</v>
      </c>
      <c r="G268" s="11" t="s">
        <v>289</v>
      </c>
      <c r="H268" s="11" t="s">
        <v>35</v>
      </c>
      <c r="I268" s="2">
        <v>9243</v>
      </c>
      <c r="J268" s="2">
        <v>138650</v>
      </c>
    </row>
    <row r="269" spans="1:10" x14ac:dyDescent="0.3">
      <c r="A269" s="2" t="s">
        <v>502</v>
      </c>
      <c r="B269" s="2" t="s">
        <v>503</v>
      </c>
      <c r="C269" s="2" t="s">
        <v>32</v>
      </c>
      <c r="D269" s="2" t="s">
        <v>14</v>
      </c>
      <c r="E269" s="2">
        <v>100000</v>
      </c>
      <c r="F269" s="4" t="s">
        <v>22</v>
      </c>
      <c r="G269" s="11" t="s">
        <v>289</v>
      </c>
      <c r="H269" s="11" t="s">
        <v>35</v>
      </c>
      <c r="I269" s="2">
        <v>4388</v>
      </c>
      <c r="J269" s="2">
        <v>13165</v>
      </c>
    </row>
    <row r="270" spans="1:10" x14ac:dyDescent="0.3">
      <c r="A270" s="2" t="s">
        <v>504</v>
      </c>
      <c r="B270" s="2" t="s">
        <v>505</v>
      </c>
      <c r="C270" s="2" t="s">
        <v>32</v>
      </c>
      <c r="D270" s="2" t="s">
        <v>14</v>
      </c>
      <c r="E270" s="2">
        <v>80000</v>
      </c>
      <c r="F270" s="4" t="s">
        <v>22</v>
      </c>
      <c r="G270" s="11" t="s">
        <v>289</v>
      </c>
      <c r="H270" s="11" t="s">
        <v>35</v>
      </c>
      <c r="I270" s="2">
        <v>4467</v>
      </c>
      <c r="J270" s="2">
        <v>44672</v>
      </c>
    </row>
    <row r="271" spans="1:10" x14ac:dyDescent="0.3">
      <c r="A271" s="2" t="s">
        <v>506</v>
      </c>
      <c r="B271" s="2" t="s">
        <v>507</v>
      </c>
      <c r="C271" s="2" t="s">
        <v>32</v>
      </c>
      <c r="D271" s="2" t="s">
        <v>14</v>
      </c>
      <c r="E271" s="2">
        <v>60000</v>
      </c>
      <c r="F271" s="4" t="s">
        <v>22</v>
      </c>
      <c r="G271" s="11" t="s">
        <v>289</v>
      </c>
      <c r="H271" s="11" t="s">
        <v>35</v>
      </c>
      <c r="I271" s="2">
        <v>3154</v>
      </c>
      <c r="J271" s="2">
        <v>28388</v>
      </c>
    </row>
    <row r="272" spans="1:10" x14ac:dyDescent="0.3">
      <c r="A272" s="2" t="s">
        <v>508</v>
      </c>
      <c r="B272" s="2" t="s">
        <v>12</v>
      </c>
      <c r="C272" s="2" t="s">
        <v>13</v>
      </c>
      <c r="D272" s="2" t="s">
        <v>14</v>
      </c>
      <c r="E272" s="2">
        <v>14664</v>
      </c>
      <c r="F272" s="4" t="s">
        <v>15</v>
      </c>
      <c r="G272" s="11" t="s">
        <v>432</v>
      </c>
      <c r="H272" s="11" t="s">
        <v>29</v>
      </c>
      <c r="I272" s="2">
        <v>783</v>
      </c>
      <c r="J272" s="2">
        <v>6263</v>
      </c>
    </row>
    <row r="273" spans="1:10" x14ac:dyDescent="0.3">
      <c r="A273" s="2" t="s">
        <v>509</v>
      </c>
      <c r="B273" s="2" t="s">
        <v>510</v>
      </c>
      <c r="C273" s="2" t="s">
        <v>32</v>
      </c>
      <c r="D273" s="2" t="s">
        <v>14</v>
      </c>
      <c r="E273" s="2">
        <v>65000</v>
      </c>
      <c r="F273" s="4" t="s">
        <v>22</v>
      </c>
      <c r="G273" s="11" t="s">
        <v>289</v>
      </c>
      <c r="H273" s="11" t="s">
        <v>35</v>
      </c>
      <c r="I273" s="2">
        <v>5069</v>
      </c>
      <c r="J273" s="2">
        <v>55756</v>
      </c>
    </row>
    <row r="274" spans="1:10" x14ac:dyDescent="0.3">
      <c r="A274" s="2" t="s">
        <v>511</v>
      </c>
      <c r="B274" s="2" t="s">
        <v>512</v>
      </c>
      <c r="C274" s="2" t="s">
        <v>32</v>
      </c>
      <c r="D274" s="2" t="s">
        <v>14</v>
      </c>
      <c r="E274" s="2">
        <v>58000</v>
      </c>
      <c r="F274" s="4" t="s">
        <v>22</v>
      </c>
      <c r="G274" s="11" t="s">
        <v>289</v>
      </c>
      <c r="H274" s="11" t="s">
        <v>35</v>
      </c>
      <c r="I274" s="2">
        <v>6419</v>
      </c>
      <c r="J274" s="2">
        <v>38516</v>
      </c>
    </row>
    <row r="275" spans="1:10" x14ac:dyDescent="0.3">
      <c r="A275" s="2" t="s">
        <v>513</v>
      </c>
      <c r="B275" s="2" t="s">
        <v>514</v>
      </c>
      <c r="C275" s="2" t="s">
        <v>32</v>
      </c>
      <c r="D275" s="2" t="s">
        <v>14</v>
      </c>
      <c r="E275" s="2">
        <v>35363</v>
      </c>
      <c r="F275" s="4" t="s">
        <v>22</v>
      </c>
      <c r="G275" s="11" t="s">
        <v>289</v>
      </c>
      <c r="H275" s="11" t="s">
        <v>35</v>
      </c>
      <c r="I275" s="2">
        <v>1359</v>
      </c>
      <c r="J275" s="2">
        <v>14945</v>
      </c>
    </row>
    <row r="276" spans="1:10" x14ac:dyDescent="0.3">
      <c r="A276" s="2" t="s">
        <v>515</v>
      </c>
      <c r="B276" s="2" t="s">
        <v>516</v>
      </c>
      <c r="C276" s="2" t="s">
        <v>32</v>
      </c>
      <c r="D276" s="2" t="s">
        <v>14</v>
      </c>
      <c r="E276" s="2">
        <v>35000</v>
      </c>
      <c r="F276" s="4" t="s">
        <v>22</v>
      </c>
      <c r="G276" s="11" t="s">
        <v>289</v>
      </c>
      <c r="H276" s="11" t="s">
        <v>35</v>
      </c>
      <c r="I276" s="2">
        <v>2214</v>
      </c>
      <c r="J276" s="2">
        <v>13286</v>
      </c>
    </row>
    <row r="277" spans="1:10" x14ac:dyDescent="0.3">
      <c r="A277" s="2" t="s">
        <v>517</v>
      </c>
      <c r="B277" s="2" t="s">
        <v>518</v>
      </c>
      <c r="C277" s="2" t="s">
        <v>32</v>
      </c>
      <c r="D277" s="2" t="s">
        <v>14</v>
      </c>
      <c r="E277" s="2">
        <v>80000</v>
      </c>
      <c r="F277" s="4" t="s">
        <v>20</v>
      </c>
      <c r="G277" s="11" t="s">
        <v>289</v>
      </c>
      <c r="H277" s="11" t="s">
        <v>35</v>
      </c>
      <c r="I277" s="2">
        <v>2715</v>
      </c>
      <c r="J277" s="2">
        <v>32575</v>
      </c>
    </row>
    <row r="278" spans="1:10" x14ac:dyDescent="0.3">
      <c r="A278" s="2" t="s">
        <v>519</v>
      </c>
      <c r="B278" s="2" t="s">
        <v>328</v>
      </c>
      <c r="C278" s="2" t="s">
        <v>32</v>
      </c>
      <c r="D278" s="2" t="s">
        <v>14</v>
      </c>
      <c r="E278" s="2">
        <v>98200</v>
      </c>
      <c r="F278" s="4" t="s">
        <v>20</v>
      </c>
      <c r="G278" s="11" t="s">
        <v>289</v>
      </c>
      <c r="H278" s="11" t="s">
        <v>35</v>
      </c>
      <c r="I278" s="2">
        <v>2931</v>
      </c>
      <c r="J278" s="2">
        <v>26383</v>
      </c>
    </row>
    <row r="279" spans="1:10" x14ac:dyDescent="0.3">
      <c r="A279" s="2" t="s">
        <v>520</v>
      </c>
      <c r="B279" s="2" t="s">
        <v>521</v>
      </c>
      <c r="C279" s="2" t="s">
        <v>32</v>
      </c>
      <c r="D279" s="2" t="s">
        <v>14</v>
      </c>
      <c r="E279" s="2">
        <v>495000</v>
      </c>
      <c r="F279" s="4" t="s">
        <v>22</v>
      </c>
      <c r="G279" s="11" t="s">
        <v>289</v>
      </c>
      <c r="H279" s="11" t="s">
        <v>35</v>
      </c>
      <c r="I279" s="2">
        <v>6362</v>
      </c>
      <c r="J279" s="2">
        <v>44536</v>
      </c>
    </row>
    <row r="280" spans="1:10" x14ac:dyDescent="0.3">
      <c r="A280" s="2" t="s">
        <v>522</v>
      </c>
      <c r="B280" s="2" t="s">
        <v>523</v>
      </c>
      <c r="C280" s="2" t="s">
        <v>32</v>
      </c>
      <c r="D280" s="2" t="s">
        <v>14</v>
      </c>
      <c r="E280" s="2">
        <v>31200</v>
      </c>
      <c r="F280" s="4" t="s">
        <v>22</v>
      </c>
      <c r="G280" s="11" t="s">
        <v>289</v>
      </c>
      <c r="H280" s="11" t="s">
        <v>35</v>
      </c>
      <c r="I280" s="2">
        <v>262</v>
      </c>
      <c r="J280" s="2">
        <v>3138</v>
      </c>
    </row>
    <row r="281" spans="1:10" x14ac:dyDescent="0.3">
      <c r="A281" s="2" t="s">
        <v>524</v>
      </c>
      <c r="B281" s="2" t="s">
        <v>525</v>
      </c>
      <c r="C281" s="2" t="s">
        <v>32</v>
      </c>
      <c r="D281" s="2" t="s">
        <v>14</v>
      </c>
      <c r="E281" s="2">
        <v>42000</v>
      </c>
      <c r="F281" s="4" t="s">
        <v>15</v>
      </c>
      <c r="G281" s="11" t="s">
        <v>289</v>
      </c>
      <c r="H281" s="11" t="s">
        <v>35</v>
      </c>
      <c r="I281" s="2">
        <v>5418</v>
      </c>
      <c r="J281" s="2">
        <v>21670</v>
      </c>
    </row>
    <row r="282" spans="1:10" x14ac:dyDescent="0.3">
      <c r="A282" s="2" t="s">
        <v>526</v>
      </c>
      <c r="B282" s="2" t="s">
        <v>105</v>
      </c>
      <c r="C282" s="2" t="s">
        <v>32</v>
      </c>
      <c r="D282" s="2" t="s">
        <v>14</v>
      </c>
      <c r="E282" s="2">
        <v>84000</v>
      </c>
      <c r="F282" s="4" t="s">
        <v>15</v>
      </c>
      <c r="G282" s="11" t="s">
        <v>289</v>
      </c>
      <c r="H282" s="11" t="s">
        <v>35</v>
      </c>
      <c r="I282" s="2">
        <v>31</v>
      </c>
      <c r="J282" s="2">
        <v>125</v>
      </c>
    </row>
    <row r="283" spans="1:10" x14ac:dyDescent="0.3">
      <c r="A283" s="2" t="s">
        <v>527</v>
      </c>
      <c r="B283" s="2" t="s">
        <v>12</v>
      </c>
      <c r="C283" s="2" t="s">
        <v>13</v>
      </c>
      <c r="D283" s="2" t="s">
        <v>14</v>
      </c>
      <c r="E283" s="2">
        <v>20000</v>
      </c>
      <c r="F283" s="4" t="s">
        <v>22</v>
      </c>
      <c r="G283" s="11" t="s">
        <v>432</v>
      </c>
      <c r="H283" s="11" t="s">
        <v>29</v>
      </c>
      <c r="I283" s="2">
        <v>427</v>
      </c>
      <c r="J283" s="2">
        <v>427</v>
      </c>
    </row>
    <row r="284" spans="1:10" x14ac:dyDescent="0.3">
      <c r="A284" s="2" t="s">
        <v>528</v>
      </c>
      <c r="B284" s="2" t="s">
        <v>353</v>
      </c>
      <c r="C284" s="2" t="s">
        <v>32</v>
      </c>
      <c r="D284" s="2" t="s">
        <v>14</v>
      </c>
      <c r="E284" s="2">
        <v>55000</v>
      </c>
      <c r="F284" s="4" t="s">
        <v>15</v>
      </c>
      <c r="G284" s="11" t="s">
        <v>289</v>
      </c>
      <c r="H284" s="11" t="s">
        <v>35</v>
      </c>
      <c r="I284" s="2">
        <v>2758</v>
      </c>
      <c r="J284" s="2">
        <v>57920</v>
      </c>
    </row>
    <row r="285" spans="1:10" x14ac:dyDescent="0.3">
      <c r="A285" s="2" t="s">
        <v>529</v>
      </c>
      <c r="B285" s="2" t="s">
        <v>530</v>
      </c>
      <c r="C285" s="2" t="s">
        <v>32</v>
      </c>
      <c r="D285" s="2" t="s">
        <v>14</v>
      </c>
      <c r="E285" s="2">
        <v>45000</v>
      </c>
      <c r="F285" s="4" t="s">
        <v>22</v>
      </c>
      <c r="G285" s="11" t="s">
        <v>289</v>
      </c>
      <c r="H285" s="11" t="s">
        <v>35</v>
      </c>
      <c r="I285" s="2">
        <v>3634</v>
      </c>
      <c r="J285" s="2">
        <v>25441</v>
      </c>
    </row>
    <row r="286" spans="1:10" x14ac:dyDescent="0.3">
      <c r="A286" s="2" t="s">
        <v>531</v>
      </c>
      <c r="B286" s="2" t="s">
        <v>532</v>
      </c>
      <c r="C286" s="2" t="s">
        <v>32</v>
      </c>
      <c r="D286" s="2" t="s">
        <v>14</v>
      </c>
      <c r="E286" s="2">
        <v>90000</v>
      </c>
      <c r="F286" s="4" t="s">
        <v>22</v>
      </c>
      <c r="G286" s="11" t="s">
        <v>289</v>
      </c>
      <c r="H286" s="11" t="s">
        <v>35</v>
      </c>
      <c r="I286" s="2">
        <v>9657</v>
      </c>
      <c r="J286" s="2">
        <v>67597</v>
      </c>
    </row>
    <row r="287" spans="1:10" x14ac:dyDescent="0.3">
      <c r="A287" s="2" t="s">
        <v>533</v>
      </c>
      <c r="B287" s="2" t="s">
        <v>534</v>
      </c>
      <c r="C287" s="2" t="s">
        <v>32</v>
      </c>
      <c r="D287" s="2" t="s">
        <v>14</v>
      </c>
      <c r="E287" s="2">
        <v>60000</v>
      </c>
      <c r="F287" s="4" t="s">
        <v>20</v>
      </c>
      <c r="G287" s="11" t="s">
        <v>289</v>
      </c>
      <c r="H287" s="11" t="s">
        <v>35</v>
      </c>
      <c r="I287" s="2">
        <v>1947</v>
      </c>
      <c r="J287" s="2">
        <v>15577</v>
      </c>
    </row>
    <row r="288" spans="1:10" x14ac:dyDescent="0.3">
      <c r="A288" s="2" t="s">
        <v>535</v>
      </c>
      <c r="B288" s="2" t="s">
        <v>536</v>
      </c>
      <c r="C288" s="2" t="s">
        <v>32</v>
      </c>
      <c r="D288" s="2" t="s">
        <v>14</v>
      </c>
      <c r="E288" s="2">
        <v>46000</v>
      </c>
      <c r="F288" s="4" t="s">
        <v>22</v>
      </c>
      <c r="G288" s="11" t="s">
        <v>289</v>
      </c>
      <c r="H288" s="11" t="s">
        <v>35</v>
      </c>
      <c r="I288" s="2">
        <v>209</v>
      </c>
      <c r="J288" s="2">
        <v>835</v>
      </c>
    </row>
    <row r="289" spans="1:10" x14ac:dyDescent="0.3">
      <c r="A289" s="2" t="s">
        <v>537</v>
      </c>
      <c r="B289" s="2" t="s">
        <v>538</v>
      </c>
      <c r="C289" s="2" t="s">
        <v>32</v>
      </c>
      <c r="D289" s="2" t="s">
        <v>14</v>
      </c>
      <c r="E289" s="2">
        <v>35000</v>
      </c>
      <c r="F289" s="4" t="s">
        <v>20</v>
      </c>
      <c r="G289" s="11" t="s">
        <v>289</v>
      </c>
      <c r="H289" s="11" t="s">
        <v>35</v>
      </c>
      <c r="I289" s="2">
        <v>6762</v>
      </c>
      <c r="J289" s="2">
        <v>27049</v>
      </c>
    </row>
    <row r="290" spans="1:10" x14ac:dyDescent="0.3">
      <c r="A290" s="2" t="s">
        <v>539</v>
      </c>
      <c r="B290" s="2" t="s">
        <v>540</v>
      </c>
      <c r="C290" s="2" t="s">
        <v>32</v>
      </c>
      <c r="D290" s="2" t="s">
        <v>14</v>
      </c>
      <c r="E290" s="2">
        <v>155000</v>
      </c>
      <c r="F290" s="4" t="s">
        <v>22</v>
      </c>
      <c r="G290" s="11" t="s">
        <v>289</v>
      </c>
      <c r="H290" s="11" t="s">
        <v>35</v>
      </c>
      <c r="I290" s="2">
        <v>2542</v>
      </c>
      <c r="J290" s="2">
        <v>12708</v>
      </c>
    </row>
    <row r="291" spans="1:10" x14ac:dyDescent="0.3">
      <c r="A291" s="2" t="s">
        <v>541</v>
      </c>
      <c r="B291" s="2" t="s">
        <v>542</v>
      </c>
      <c r="C291" s="2" t="s">
        <v>32</v>
      </c>
      <c r="D291" s="2" t="s">
        <v>14</v>
      </c>
      <c r="E291" s="2">
        <v>65000</v>
      </c>
      <c r="F291" s="4" t="s">
        <v>22</v>
      </c>
      <c r="G291" s="11" t="s">
        <v>289</v>
      </c>
      <c r="H291" s="11" t="s">
        <v>35</v>
      </c>
      <c r="I291" s="2">
        <v>5973</v>
      </c>
      <c r="J291" s="2">
        <v>71674</v>
      </c>
    </row>
    <row r="292" spans="1:10" x14ac:dyDescent="0.3">
      <c r="A292" s="2" t="s">
        <v>543</v>
      </c>
      <c r="B292" s="2" t="s">
        <v>544</v>
      </c>
      <c r="C292" s="2" t="s">
        <v>32</v>
      </c>
      <c r="D292" s="2" t="s">
        <v>14</v>
      </c>
      <c r="E292" s="2">
        <v>165000</v>
      </c>
      <c r="F292" s="4" t="s">
        <v>20</v>
      </c>
      <c r="G292" s="11" t="s">
        <v>289</v>
      </c>
      <c r="H292" s="11" t="s">
        <v>35</v>
      </c>
      <c r="I292" s="2">
        <v>13875</v>
      </c>
      <c r="J292" s="2">
        <v>152627</v>
      </c>
    </row>
    <row r="293" spans="1:10" x14ac:dyDescent="0.3">
      <c r="A293" s="2" t="s">
        <v>545</v>
      </c>
      <c r="B293" s="2" t="s">
        <v>546</v>
      </c>
      <c r="C293" s="2" t="s">
        <v>32</v>
      </c>
      <c r="D293" s="2" t="s">
        <v>33</v>
      </c>
      <c r="E293" s="2">
        <v>65000</v>
      </c>
      <c r="F293" s="4" t="s">
        <v>20</v>
      </c>
      <c r="G293" s="11" t="s">
        <v>289</v>
      </c>
      <c r="H293" s="11" t="s">
        <v>35</v>
      </c>
      <c r="I293" s="2">
        <v>4343</v>
      </c>
      <c r="J293" s="2">
        <v>52119</v>
      </c>
    </row>
    <row r="294" spans="1:10" x14ac:dyDescent="0.3">
      <c r="A294" s="2" t="s">
        <v>547</v>
      </c>
      <c r="B294" s="2" t="s">
        <v>12</v>
      </c>
      <c r="C294" s="2" t="s">
        <v>13</v>
      </c>
      <c r="D294" s="2" t="s">
        <v>33</v>
      </c>
      <c r="E294" s="2">
        <v>59000</v>
      </c>
      <c r="F294" s="4" t="s">
        <v>15</v>
      </c>
      <c r="G294" s="11" t="s">
        <v>432</v>
      </c>
      <c r="H294" s="11" t="s">
        <v>29</v>
      </c>
      <c r="I294" s="2">
        <v>1641</v>
      </c>
      <c r="J294" s="2">
        <v>29542</v>
      </c>
    </row>
    <row r="295" spans="1:10" x14ac:dyDescent="0.3">
      <c r="A295" s="2" t="s">
        <v>548</v>
      </c>
      <c r="B295" s="2" t="s">
        <v>369</v>
      </c>
      <c r="C295" s="2" t="s">
        <v>32</v>
      </c>
      <c r="D295" s="2" t="s">
        <v>14</v>
      </c>
      <c r="E295" s="2">
        <v>100000</v>
      </c>
      <c r="F295" s="4" t="s">
        <v>22</v>
      </c>
      <c r="G295" s="11" t="s">
        <v>289</v>
      </c>
      <c r="H295" s="11" t="s">
        <v>35</v>
      </c>
      <c r="I295" s="2">
        <v>10628</v>
      </c>
      <c r="J295" s="2">
        <v>191302</v>
      </c>
    </row>
    <row r="296" spans="1:10" x14ac:dyDescent="0.3">
      <c r="A296" s="2" t="s">
        <v>549</v>
      </c>
      <c r="B296" s="2" t="s">
        <v>550</v>
      </c>
      <c r="C296" s="2" t="s">
        <v>32</v>
      </c>
      <c r="D296" s="2" t="s">
        <v>14</v>
      </c>
      <c r="E296" s="2">
        <v>33000</v>
      </c>
      <c r="F296" s="4" t="s">
        <v>15</v>
      </c>
      <c r="G296" s="11" t="s">
        <v>289</v>
      </c>
      <c r="H296" s="11" t="s">
        <v>35</v>
      </c>
      <c r="I296" s="2">
        <v>1085</v>
      </c>
      <c r="J296" s="2">
        <v>9765</v>
      </c>
    </row>
    <row r="297" spans="1:10" x14ac:dyDescent="0.3">
      <c r="A297" s="2" t="s">
        <v>551</v>
      </c>
      <c r="B297" s="2" t="s">
        <v>525</v>
      </c>
      <c r="C297" s="2" t="s">
        <v>32</v>
      </c>
      <c r="D297" s="2" t="s">
        <v>14</v>
      </c>
      <c r="E297" s="2">
        <v>76000</v>
      </c>
      <c r="F297" s="4" t="s">
        <v>15</v>
      </c>
      <c r="G297" s="11" t="s">
        <v>289</v>
      </c>
      <c r="H297" s="11" t="s">
        <v>35</v>
      </c>
      <c r="I297" s="2">
        <v>3341</v>
      </c>
      <c r="J297" s="2">
        <v>80177</v>
      </c>
    </row>
    <row r="298" spans="1:10" x14ac:dyDescent="0.3">
      <c r="A298" s="2" t="s">
        <v>552</v>
      </c>
      <c r="B298" s="2" t="s">
        <v>553</v>
      </c>
      <c r="C298" s="2" t="s">
        <v>32</v>
      </c>
      <c r="D298" s="2" t="s">
        <v>14</v>
      </c>
      <c r="E298" s="2">
        <v>84000</v>
      </c>
      <c r="F298" s="4" t="s">
        <v>22</v>
      </c>
      <c r="G298" s="11" t="s">
        <v>289</v>
      </c>
      <c r="H298" s="11" t="s">
        <v>35</v>
      </c>
      <c r="I298" s="2">
        <v>1246</v>
      </c>
      <c r="J298" s="2">
        <v>3737</v>
      </c>
    </row>
    <row r="299" spans="1:10" x14ac:dyDescent="0.3">
      <c r="A299" s="2" t="s">
        <v>554</v>
      </c>
      <c r="B299" s="2" t="s">
        <v>555</v>
      </c>
      <c r="C299" s="2" t="s">
        <v>32</v>
      </c>
      <c r="D299" s="2" t="s">
        <v>14</v>
      </c>
      <c r="E299" s="2">
        <v>36000</v>
      </c>
      <c r="F299" s="4" t="s">
        <v>20</v>
      </c>
      <c r="G299" s="11" t="s">
        <v>289</v>
      </c>
      <c r="H299" s="11" t="s">
        <v>35</v>
      </c>
      <c r="I299" s="2">
        <v>2227</v>
      </c>
      <c r="J299" s="2">
        <v>26721</v>
      </c>
    </row>
    <row r="300" spans="1:10" x14ac:dyDescent="0.3">
      <c r="A300" s="2" t="s">
        <v>556</v>
      </c>
      <c r="B300" s="2" t="s">
        <v>393</v>
      </c>
      <c r="C300" s="2" t="s">
        <v>32</v>
      </c>
      <c r="D300" s="2" t="s">
        <v>14</v>
      </c>
      <c r="E300" s="2">
        <v>63000</v>
      </c>
      <c r="F300" s="4" t="s">
        <v>20</v>
      </c>
      <c r="G300" s="11" t="s">
        <v>289</v>
      </c>
      <c r="H300" s="11" t="s">
        <v>35</v>
      </c>
      <c r="I300" s="2">
        <v>12442</v>
      </c>
      <c r="J300" s="2">
        <v>111979</v>
      </c>
    </row>
    <row r="301" spans="1:10" x14ac:dyDescent="0.3">
      <c r="A301" s="2" t="s">
        <v>557</v>
      </c>
      <c r="B301" s="2" t="s">
        <v>84</v>
      </c>
      <c r="C301" s="2" t="s">
        <v>32</v>
      </c>
      <c r="D301" s="2" t="s">
        <v>14</v>
      </c>
      <c r="E301" s="2">
        <v>275000</v>
      </c>
      <c r="F301" s="4" t="s">
        <v>15</v>
      </c>
      <c r="G301" s="11" t="s">
        <v>289</v>
      </c>
      <c r="H301" s="11" t="s">
        <v>35</v>
      </c>
      <c r="I301" s="2">
        <v>6379</v>
      </c>
      <c r="J301" s="2">
        <v>70168</v>
      </c>
    </row>
    <row r="302" spans="1:10" x14ac:dyDescent="0.3">
      <c r="A302" s="2" t="s">
        <v>558</v>
      </c>
      <c r="B302" s="2" t="s">
        <v>559</v>
      </c>
      <c r="C302" s="2" t="s">
        <v>32</v>
      </c>
      <c r="D302" s="2" t="s">
        <v>33</v>
      </c>
      <c r="E302" s="2">
        <v>60000</v>
      </c>
      <c r="F302" s="4" t="s">
        <v>15</v>
      </c>
      <c r="G302" s="11" t="s">
        <v>289</v>
      </c>
      <c r="H302" s="11" t="s">
        <v>35</v>
      </c>
      <c r="I302" s="2">
        <v>2644</v>
      </c>
      <c r="J302" s="2">
        <v>50230</v>
      </c>
    </row>
    <row r="303" spans="1:10" x14ac:dyDescent="0.3">
      <c r="A303" s="2" t="s">
        <v>560</v>
      </c>
      <c r="B303" s="2" t="s">
        <v>561</v>
      </c>
      <c r="C303" s="2" t="s">
        <v>32</v>
      </c>
      <c r="D303" s="2" t="s">
        <v>33</v>
      </c>
      <c r="E303" s="2">
        <v>50000</v>
      </c>
      <c r="F303" s="4" t="s">
        <v>20</v>
      </c>
      <c r="G303" s="11" t="s">
        <v>289</v>
      </c>
      <c r="H303" s="11" t="s">
        <v>35</v>
      </c>
      <c r="I303" s="2">
        <v>1737</v>
      </c>
      <c r="J303" s="2">
        <v>13899</v>
      </c>
    </row>
    <row r="304" spans="1:10" x14ac:dyDescent="0.3">
      <c r="A304" s="2" t="s">
        <v>562</v>
      </c>
      <c r="B304" s="2" t="s">
        <v>563</v>
      </c>
      <c r="C304" s="2" t="s">
        <v>32</v>
      </c>
      <c r="D304" s="2" t="s">
        <v>14</v>
      </c>
      <c r="E304" s="2">
        <v>105000</v>
      </c>
      <c r="F304" s="4" t="s">
        <v>22</v>
      </c>
      <c r="G304" s="11" t="s">
        <v>289</v>
      </c>
      <c r="H304" s="11" t="s">
        <v>35</v>
      </c>
      <c r="I304" s="2">
        <v>2752</v>
      </c>
      <c r="J304" s="2">
        <v>27518</v>
      </c>
    </row>
    <row r="305" spans="1:10" x14ac:dyDescent="0.3">
      <c r="A305" s="2" t="s">
        <v>564</v>
      </c>
      <c r="B305" s="2" t="s">
        <v>12</v>
      </c>
      <c r="C305" s="2" t="s">
        <v>13</v>
      </c>
      <c r="D305" s="2" t="s">
        <v>19</v>
      </c>
      <c r="E305" s="2">
        <v>42885</v>
      </c>
      <c r="F305" s="4" t="s">
        <v>15</v>
      </c>
      <c r="G305" s="11" t="s">
        <v>432</v>
      </c>
      <c r="H305" s="11" t="s">
        <v>29</v>
      </c>
      <c r="I305" s="2">
        <v>14992</v>
      </c>
      <c r="J305" s="2">
        <v>134930</v>
      </c>
    </row>
    <row r="306" spans="1:10" x14ac:dyDescent="0.3">
      <c r="A306" s="2" t="s">
        <v>565</v>
      </c>
      <c r="B306" s="2" t="s">
        <v>566</v>
      </c>
      <c r="C306" s="2" t="s">
        <v>32</v>
      </c>
      <c r="D306" s="2" t="s">
        <v>14</v>
      </c>
      <c r="E306" s="2">
        <v>58000</v>
      </c>
      <c r="F306" s="4" t="s">
        <v>15</v>
      </c>
      <c r="G306" s="11" t="s">
        <v>289</v>
      </c>
      <c r="H306" s="11" t="s">
        <v>35</v>
      </c>
      <c r="I306" s="2">
        <v>679</v>
      </c>
      <c r="J306" s="2">
        <v>8147</v>
      </c>
    </row>
    <row r="307" spans="1:10" x14ac:dyDescent="0.3">
      <c r="A307" s="2" t="s">
        <v>567</v>
      </c>
      <c r="B307" s="2" t="s">
        <v>105</v>
      </c>
      <c r="C307" s="2" t="s">
        <v>32</v>
      </c>
      <c r="D307" s="2" t="s">
        <v>14</v>
      </c>
      <c r="E307" s="2">
        <v>35000</v>
      </c>
      <c r="F307" s="4" t="s">
        <v>15</v>
      </c>
      <c r="G307" s="11" t="s">
        <v>289</v>
      </c>
      <c r="H307" s="11" t="s">
        <v>35</v>
      </c>
      <c r="I307" s="2">
        <v>1402</v>
      </c>
      <c r="J307" s="2">
        <v>18231</v>
      </c>
    </row>
    <row r="308" spans="1:10" x14ac:dyDescent="0.3">
      <c r="A308" s="2" t="s">
        <v>568</v>
      </c>
      <c r="B308" s="2" t="s">
        <v>569</v>
      </c>
      <c r="C308" s="2" t="s">
        <v>32</v>
      </c>
      <c r="D308" s="2" t="s">
        <v>14</v>
      </c>
      <c r="E308" s="2">
        <v>25000</v>
      </c>
      <c r="F308" s="4" t="s">
        <v>20</v>
      </c>
      <c r="G308" s="11" t="s">
        <v>289</v>
      </c>
      <c r="H308" s="11" t="s">
        <v>35</v>
      </c>
      <c r="I308" s="2">
        <v>671</v>
      </c>
      <c r="J308" s="2">
        <v>6040</v>
      </c>
    </row>
    <row r="309" spans="1:10" x14ac:dyDescent="0.3">
      <c r="A309" s="2" t="s">
        <v>570</v>
      </c>
      <c r="B309" s="2" t="s">
        <v>571</v>
      </c>
      <c r="C309" s="2" t="s">
        <v>32</v>
      </c>
      <c r="D309" s="2" t="s">
        <v>14</v>
      </c>
      <c r="E309" s="2">
        <v>55000</v>
      </c>
      <c r="F309" s="4" t="s">
        <v>20</v>
      </c>
      <c r="G309" s="11" t="s">
        <v>289</v>
      </c>
      <c r="H309" s="11" t="s">
        <v>35</v>
      </c>
      <c r="I309" s="2">
        <v>2230</v>
      </c>
      <c r="J309" s="2">
        <v>26761</v>
      </c>
    </row>
    <row r="310" spans="1:10" x14ac:dyDescent="0.3">
      <c r="A310" s="2" t="s">
        <v>572</v>
      </c>
      <c r="B310" s="2" t="s">
        <v>573</v>
      </c>
      <c r="C310" s="2" t="s">
        <v>32</v>
      </c>
      <c r="D310" s="2" t="s">
        <v>14</v>
      </c>
      <c r="E310" s="2">
        <v>120000</v>
      </c>
      <c r="F310" s="4" t="s">
        <v>20</v>
      </c>
      <c r="G310" s="11" t="s">
        <v>289</v>
      </c>
      <c r="H310" s="11" t="s">
        <v>35</v>
      </c>
      <c r="I310" s="2">
        <v>5431</v>
      </c>
      <c r="J310" s="2">
        <v>43449</v>
      </c>
    </row>
    <row r="311" spans="1:10" x14ac:dyDescent="0.3">
      <c r="A311" s="2" t="s">
        <v>574</v>
      </c>
      <c r="B311" s="2" t="s">
        <v>575</v>
      </c>
      <c r="C311" s="2" t="s">
        <v>32</v>
      </c>
      <c r="D311" s="2" t="s">
        <v>33</v>
      </c>
      <c r="E311" s="2">
        <v>117000</v>
      </c>
      <c r="F311" s="4" t="s">
        <v>22</v>
      </c>
      <c r="G311" s="11" t="s">
        <v>289</v>
      </c>
      <c r="H311" s="11" t="s">
        <v>35</v>
      </c>
      <c r="I311" s="2">
        <v>36591</v>
      </c>
      <c r="J311" s="2">
        <v>439090</v>
      </c>
    </row>
    <row r="312" spans="1:10" x14ac:dyDescent="0.3">
      <c r="A312" s="2" t="s">
        <v>576</v>
      </c>
      <c r="B312" s="2" t="s">
        <v>577</v>
      </c>
      <c r="C312" s="2" t="s">
        <v>32</v>
      </c>
      <c r="D312" s="2" t="s">
        <v>33</v>
      </c>
      <c r="E312" s="2">
        <v>25000</v>
      </c>
      <c r="F312" s="4" t="s">
        <v>22</v>
      </c>
      <c r="G312" s="11" t="s">
        <v>289</v>
      </c>
      <c r="H312" s="11" t="s">
        <v>35</v>
      </c>
      <c r="I312" s="2">
        <v>1690</v>
      </c>
      <c r="J312" s="2">
        <v>13521</v>
      </c>
    </row>
    <row r="313" spans="1:10" x14ac:dyDescent="0.3">
      <c r="A313" s="2" t="s">
        <v>578</v>
      </c>
      <c r="B313" s="2" t="s">
        <v>579</v>
      </c>
      <c r="C313" s="2" t="s">
        <v>32</v>
      </c>
      <c r="D313" s="2" t="s">
        <v>14</v>
      </c>
      <c r="E313" s="2">
        <v>28800</v>
      </c>
      <c r="F313" s="4" t="s">
        <v>15</v>
      </c>
      <c r="G313" s="11" t="s">
        <v>289</v>
      </c>
      <c r="H313" s="11" t="s">
        <v>35</v>
      </c>
      <c r="I313" s="2">
        <v>953</v>
      </c>
      <c r="J313" s="2">
        <v>10481</v>
      </c>
    </row>
    <row r="314" spans="1:10" x14ac:dyDescent="0.3">
      <c r="A314" s="2" t="s">
        <v>580</v>
      </c>
      <c r="B314" s="2" t="s">
        <v>252</v>
      </c>
      <c r="C314" s="2" t="s">
        <v>32</v>
      </c>
      <c r="D314" s="2" t="s">
        <v>14</v>
      </c>
      <c r="E314" s="2">
        <v>75000</v>
      </c>
      <c r="F314" s="4" t="s">
        <v>22</v>
      </c>
      <c r="G314" s="11" t="s">
        <v>289</v>
      </c>
      <c r="H314" s="11" t="s">
        <v>35</v>
      </c>
      <c r="I314" s="2">
        <v>1549</v>
      </c>
      <c r="J314" s="2">
        <v>29423</v>
      </c>
    </row>
    <row r="315" spans="1:10" x14ac:dyDescent="0.3">
      <c r="A315" s="2" t="s">
        <v>581</v>
      </c>
      <c r="B315" s="2" t="s">
        <v>582</v>
      </c>
      <c r="C315" s="2" t="s">
        <v>32</v>
      </c>
      <c r="D315" s="2" t="s">
        <v>14</v>
      </c>
      <c r="E315" s="2">
        <v>34000</v>
      </c>
      <c r="F315" s="4" t="s">
        <v>22</v>
      </c>
      <c r="G315" s="11" t="s">
        <v>289</v>
      </c>
      <c r="H315" s="11" t="s">
        <v>35</v>
      </c>
      <c r="I315" s="2">
        <v>561</v>
      </c>
      <c r="J315" s="2">
        <v>10099</v>
      </c>
    </row>
    <row r="316" spans="1:10" x14ac:dyDescent="0.3">
      <c r="A316" s="2" t="s">
        <v>583</v>
      </c>
      <c r="B316" s="2" t="s">
        <v>12</v>
      </c>
      <c r="C316" s="2" t="s">
        <v>13</v>
      </c>
      <c r="D316" s="2" t="s">
        <v>19</v>
      </c>
      <c r="E316" s="2">
        <v>42000</v>
      </c>
      <c r="F316" s="4" t="s">
        <v>20</v>
      </c>
      <c r="G316" s="11" t="s">
        <v>432</v>
      </c>
      <c r="H316" s="11" t="s">
        <v>29</v>
      </c>
      <c r="I316" s="2">
        <v>55086</v>
      </c>
      <c r="J316" s="2">
        <v>330513</v>
      </c>
    </row>
    <row r="317" spans="1:10" x14ac:dyDescent="0.3">
      <c r="A317" s="2" t="s">
        <v>584</v>
      </c>
      <c r="B317" s="2" t="s">
        <v>585</v>
      </c>
      <c r="C317" s="2" t="s">
        <v>32</v>
      </c>
      <c r="D317" s="2" t="s">
        <v>14</v>
      </c>
      <c r="E317" s="2">
        <v>50000</v>
      </c>
      <c r="F317" s="4" t="s">
        <v>15</v>
      </c>
      <c r="G317" s="11" t="s">
        <v>289</v>
      </c>
      <c r="H317" s="11" t="s">
        <v>35</v>
      </c>
      <c r="I317" s="2">
        <v>1596</v>
      </c>
      <c r="J317" s="2">
        <v>20748</v>
      </c>
    </row>
    <row r="318" spans="1:10" x14ac:dyDescent="0.3">
      <c r="A318" s="2" t="s">
        <v>586</v>
      </c>
      <c r="B318" s="2" t="s">
        <v>587</v>
      </c>
      <c r="C318" s="2" t="s">
        <v>32</v>
      </c>
      <c r="D318" s="2" t="s">
        <v>14</v>
      </c>
      <c r="E318" s="2">
        <v>60000</v>
      </c>
      <c r="F318" s="4" t="s">
        <v>20</v>
      </c>
      <c r="G318" s="11" t="s">
        <v>289</v>
      </c>
      <c r="H318" s="11" t="s">
        <v>35</v>
      </c>
      <c r="I318" s="2">
        <v>1269</v>
      </c>
      <c r="J318" s="2">
        <v>11424</v>
      </c>
    </row>
    <row r="319" spans="1:10" x14ac:dyDescent="0.3">
      <c r="A319" s="2" t="s">
        <v>588</v>
      </c>
      <c r="B319" s="2" t="s">
        <v>589</v>
      </c>
      <c r="C319" s="2" t="s">
        <v>32</v>
      </c>
      <c r="D319" s="2" t="s">
        <v>14</v>
      </c>
      <c r="E319" s="2">
        <v>38000</v>
      </c>
      <c r="F319" s="4" t="s">
        <v>15</v>
      </c>
      <c r="G319" s="11" t="s">
        <v>289</v>
      </c>
      <c r="H319" s="11" t="s">
        <v>35</v>
      </c>
      <c r="I319" s="2">
        <v>23791</v>
      </c>
      <c r="J319" s="2">
        <v>142744</v>
      </c>
    </row>
    <row r="320" spans="1:10" x14ac:dyDescent="0.3">
      <c r="A320" s="2" t="s">
        <v>590</v>
      </c>
      <c r="B320" s="2" t="s">
        <v>56</v>
      </c>
      <c r="C320" s="2" t="s">
        <v>32</v>
      </c>
      <c r="D320" s="2" t="s">
        <v>14</v>
      </c>
      <c r="E320" s="2">
        <v>70000</v>
      </c>
      <c r="F320" s="4" t="s">
        <v>22</v>
      </c>
      <c r="G320" s="11" t="s">
        <v>289</v>
      </c>
      <c r="H320" s="11" t="s">
        <v>35</v>
      </c>
      <c r="I320" s="2">
        <v>1446</v>
      </c>
      <c r="J320" s="2">
        <v>18796</v>
      </c>
    </row>
    <row r="321" spans="1:10" x14ac:dyDescent="0.3">
      <c r="A321" s="2" t="s">
        <v>591</v>
      </c>
      <c r="B321" s="2" t="s">
        <v>592</v>
      </c>
      <c r="C321" s="2" t="s">
        <v>32</v>
      </c>
      <c r="D321" s="2" t="s">
        <v>14</v>
      </c>
      <c r="E321" s="2">
        <v>150000</v>
      </c>
      <c r="F321" s="4" t="s">
        <v>20</v>
      </c>
      <c r="G321" s="11" t="s">
        <v>289</v>
      </c>
      <c r="H321" s="11" t="s">
        <v>35</v>
      </c>
      <c r="I321" s="2">
        <v>1432</v>
      </c>
      <c r="J321" s="2">
        <v>17181</v>
      </c>
    </row>
    <row r="322" spans="1:10" x14ac:dyDescent="0.3">
      <c r="A322" s="2" t="s">
        <v>593</v>
      </c>
      <c r="B322" s="2" t="s">
        <v>594</v>
      </c>
      <c r="C322" s="2" t="s">
        <v>32</v>
      </c>
      <c r="D322" s="2" t="s">
        <v>14</v>
      </c>
      <c r="E322" s="2">
        <v>60000</v>
      </c>
      <c r="F322" s="4" t="s">
        <v>22</v>
      </c>
      <c r="G322" s="11" t="s">
        <v>289</v>
      </c>
      <c r="H322" s="11" t="s">
        <v>35</v>
      </c>
      <c r="I322" s="2">
        <v>34007</v>
      </c>
      <c r="J322" s="2">
        <v>272053</v>
      </c>
    </row>
    <row r="323" spans="1:10" x14ac:dyDescent="0.3">
      <c r="A323" s="2" t="s">
        <v>595</v>
      </c>
      <c r="B323" s="2" t="s">
        <v>596</v>
      </c>
      <c r="C323" s="2" t="s">
        <v>32</v>
      </c>
      <c r="D323" s="2" t="s">
        <v>19</v>
      </c>
      <c r="E323" s="2">
        <v>70000</v>
      </c>
      <c r="F323" s="4" t="s">
        <v>20</v>
      </c>
      <c r="G323" s="11" t="s">
        <v>289</v>
      </c>
      <c r="H323" s="11" t="s">
        <v>35</v>
      </c>
      <c r="I323" s="2">
        <v>13213</v>
      </c>
      <c r="J323" s="2">
        <v>39638</v>
      </c>
    </row>
    <row r="324" spans="1:10" x14ac:dyDescent="0.3">
      <c r="A324" s="2" t="s">
        <v>597</v>
      </c>
      <c r="B324" s="2" t="s">
        <v>441</v>
      </c>
      <c r="C324" s="2" t="s">
        <v>32</v>
      </c>
      <c r="D324" s="2" t="s">
        <v>14</v>
      </c>
      <c r="E324" s="2">
        <v>41600</v>
      </c>
      <c r="F324" s="4" t="s">
        <v>20</v>
      </c>
      <c r="G324" s="11" t="s">
        <v>289</v>
      </c>
      <c r="H324" s="11" t="s">
        <v>35</v>
      </c>
      <c r="I324" s="2">
        <v>3122</v>
      </c>
      <c r="J324" s="2">
        <v>12487</v>
      </c>
    </row>
    <row r="325" spans="1:10" x14ac:dyDescent="0.3">
      <c r="A325" s="2" t="s">
        <v>598</v>
      </c>
      <c r="B325" s="2" t="s">
        <v>599</v>
      </c>
      <c r="C325" s="2" t="s">
        <v>32</v>
      </c>
      <c r="D325" s="2" t="s">
        <v>19</v>
      </c>
      <c r="E325" s="2">
        <v>195000</v>
      </c>
      <c r="F325" s="4" t="s">
        <v>20</v>
      </c>
      <c r="G325" s="11" t="s">
        <v>289</v>
      </c>
      <c r="H325" s="11" t="s">
        <v>35</v>
      </c>
      <c r="I325" s="2">
        <v>27632</v>
      </c>
      <c r="J325" s="2">
        <v>442114</v>
      </c>
    </row>
    <row r="326" spans="1:10" x14ac:dyDescent="0.3">
      <c r="A326" s="2" t="s">
        <v>600</v>
      </c>
      <c r="B326" s="2" t="s">
        <v>39</v>
      </c>
      <c r="C326" s="2" t="s">
        <v>32</v>
      </c>
      <c r="D326" s="2" t="s">
        <v>33</v>
      </c>
      <c r="E326" s="2">
        <v>120000</v>
      </c>
      <c r="F326" s="4" t="s">
        <v>22</v>
      </c>
      <c r="G326" s="11" t="s">
        <v>289</v>
      </c>
      <c r="H326" s="11" t="s">
        <v>35</v>
      </c>
      <c r="I326" s="2">
        <v>3169</v>
      </c>
      <c r="J326" s="2">
        <v>25348</v>
      </c>
    </row>
    <row r="327" spans="1:10" x14ac:dyDescent="0.3">
      <c r="A327" s="2" t="s">
        <v>601</v>
      </c>
      <c r="B327" s="2" t="s">
        <v>12</v>
      </c>
      <c r="C327" s="2" t="s">
        <v>13</v>
      </c>
      <c r="D327" s="2" t="s">
        <v>19</v>
      </c>
      <c r="E327" s="2">
        <v>191900</v>
      </c>
      <c r="F327" s="4" t="s">
        <v>15</v>
      </c>
      <c r="G327" s="11" t="s">
        <v>432</v>
      </c>
      <c r="H327" s="11" t="s">
        <v>29</v>
      </c>
      <c r="I327" s="2">
        <v>33946</v>
      </c>
      <c r="J327" s="2">
        <v>169728</v>
      </c>
    </row>
    <row r="328" spans="1:10" x14ac:dyDescent="0.3">
      <c r="A328" s="2" t="s">
        <v>602</v>
      </c>
      <c r="B328" s="2" t="s">
        <v>603</v>
      </c>
      <c r="C328" s="2" t="s">
        <v>32</v>
      </c>
      <c r="D328" s="2" t="s">
        <v>14</v>
      </c>
      <c r="E328" s="2">
        <v>80000</v>
      </c>
      <c r="F328" s="4" t="s">
        <v>15</v>
      </c>
      <c r="G328" s="11" t="s">
        <v>289</v>
      </c>
      <c r="H328" s="11" t="s">
        <v>35</v>
      </c>
      <c r="I328" s="2">
        <v>3112</v>
      </c>
      <c r="J328" s="2">
        <v>21783</v>
      </c>
    </row>
    <row r="329" spans="1:10" x14ac:dyDescent="0.3">
      <c r="A329" s="2" t="s">
        <v>604</v>
      </c>
      <c r="B329" s="2" t="s">
        <v>120</v>
      </c>
      <c r="C329" s="2" t="s">
        <v>32</v>
      </c>
      <c r="D329" s="2" t="s">
        <v>19</v>
      </c>
      <c r="E329" s="2">
        <v>79484</v>
      </c>
      <c r="F329" s="4" t="s">
        <v>15</v>
      </c>
      <c r="G329" s="11" t="s">
        <v>289</v>
      </c>
      <c r="H329" s="11" t="s">
        <v>35</v>
      </c>
      <c r="I329" s="2">
        <v>15948</v>
      </c>
      <c r="J329" s="2">
        <v>334914</v>
      </c>
    </row>
    <row r="330" spans="1:10" x14ac:dyDescent="0.3">
      <c r="A330" s="2" t="s">
        <v>605</v>
      </c>
      <c r="B330" s="2" t="s">
        <v>606</v>
      </c>
      <c r="C330" s="2" t="s">
        <v>32</v>
      </c>
      <c r="D330" s="2" t="s">
        <v>14</v>
      </c>
      <c r="E330" s="2">
        <v>30000</v>
      </c>
      <c r="F330" s="4" t="s">
        <v>20</v>
      </c>
      <c r="G330" s="11" t="s">
        <v>289</v>
      </c>
      <c r="H330" s="11" t="s">
        <v>35</v>
      </c>
      <c r="I330" s="2">
        <v>3341</v>
      </c>
      <c r="J330" s="2">
        <v>20046</v>
      </c>
    </row>
    <row r="331" spans="1:10" x14ac:dyDescent="0.3">
      <c r="A331" s="2" t="s">
        <v>607</v>
      </c>
      <c r="B331" s="2" t="s">
        <v>608</v>
      </c>
      <c r="C331" s="2" t="s">
        <v>32</v>
      </c>
      <c r="D331" s="2" t="s">
        <v>14</v>
      </c>
      <c r="E331" s="2">
        <v>105000</v>
      </c>
      <c r="F331" s="4" t="s">
        <v>20</v>
      </c>
      <c r="G331" s="11" t="s">
        <v>289</v>
      </c>
      <c r="H331" s="11" t="s">
        <v>35</v>
      </c>
      <c r="I331" s="2">
        <v>9165</v>
      </c>
      <c r="J331" s="2">
        <v>119151</v>
      </c>
    </row>
    <row r="332" spans="1:10" x14ac:dyDescent="0.3">
      <c r="A332" s="2" t="s">
        <v>609</v>
      </c>
      <c r="B332" s="2" t="s">
        <v>610</v>
      </c>
      <c r="C332" s="2" t="s">
        <v>32</v>
      </c>
      <c r="D332" s="2" t="s">
        <v>14</v>
      </c>
      <c r="E332" s="2">
        <v>30000</v>
      </c>
      <c r="F332" s="4" t="s">
        <v>20</v>
      </c>
      <c r="G332" s="11" t="s">
        <v>289</v>
      </c>
      <c r="H332" s="11" t="s">
        <v>35</v>
      </c>
      <c r="I332" s="2">
        <v>1761</v>
      </c>
      <c r="J332" s="2">
        <v>21130</v>
      </c>
    </row>
    <row r="333" spans="1:10" x14ac:dyDescent="0.3">
      <c r="A333" s="2" t="s">
        <v>611</v>
      </c>
      <c r="B333" s="2" t="s">
        <v>612</v>
      </c>
      <c r="C333" s="2" t="s">
        <v>32</v>
      </c>
      <c r="D333" s="2" t="s">
        <v>14</v>
      </c>
      <c r="E333" s="2">
        <v>46000</v>
      </c>
      <c r="F333" s="4" t="s">
        <v>22</v>
      </c>
      <c r="G333" s="11" t="s">
        <v>289</v>
      </c>
      <c r="H333" s="11" t="s">
        <v>35</v>
      </c>
      <c r="I333" s="2">
        <v>1432</v>
      </c>
      <c r="J333" s="2">
        <v>21482</v>
      </c>
    </row>
    <row r="334" spans="1:10" x14ac:dyDescent="0.3">
      <c r="A334" s="2" t="s">
        <v>613</v>
      </c>
      <c r="B334" s="2" t="s">
        <v>483</v>
      </c>
      <c r="C334" s="2" t="s">
        <v>32</v>
      </c>
      <c r="D334" s="2" t="s">
        <v>19</v>
      </c>
      <c r="E334" s="2">
        <v>81000</v>
      </c>
      <c r="F334" s="4" t="s">
        <v>22</v>
      </c>
      <c r="G334" s="11" t="s">
        <v>289</v>
      </c>
      <c r="H334" s="11" t="s">
        <v>35</v>
      </c>
      <c r="I334" s="2">
        <v>4993</v>
      </c>
      <c r="J334" s="2">
        <v>49925</v>
      </c>
    </row>
    <row r="335" spans="1:10" x14ac:dyDescent="0.3">
      <c r="A335" s="2" t="s">
        <v>614</v>
      </c>
      <c r="B335" s="2" t="s">
        <v>615</v>
      </c>
      <c r="C335" s="2" t="s">
        <v>32</v>
      </c>
      <c r="D335" s="2" t="s">
        <v>14</v>
      </c>
      <c r="E335" s="2">
        <v>60000</v>
      </c>
      <c r="F335" s="4" t="s">
        <v>22</v>
      </c>
      <c r="G335" s="11" t="s">
        <v>289</v>
      </c>
      <c r="H335" s="11" t="s">
        <v>35</v>
      </c>
      <c r="I335" s="2">
        <v>5798</v>
      </c>
      <c r="J335" s="2">
        <v>34785</v>
      </c>
    </row>
    <row r="336" spans="1:10" x14ac:dyDescent="0.3">
      <c r="A336" s="2" t="s">
        <v>616</v>
      </c>
      <c r="B336" s="2" t="s">
        <v>617</v>
      </c>
      <c r="C336" s="2" t="s">
        <v>32</v>
      </c>
      <c r="D336" s="2" t="s">
        <v>14</v>
      </c>
      <c r="E336" s="2">
        <v>155000</v>
      </c>
      <c r="F336" s="4" t="s">
        <v>15</v>
      </c>
      <c r="G336" s="11" t="s">
        <v>289</v>
      </c>
      <c r="H336" s="11" t="s">
        <v>35</v>
      </c>
      <c r="I336" s="2">
        <v>22645</v>
      </c>
      <c r="J336" s="2">
        <v>113227</v>
      </c>
    </row>
    <row r="337" spans="1:10" x14ac:dyDescent="0.3">
      <c r="A337" s="2" t="s">
        <v>618</v>
      </c>
      <c r="B337" s="2" t="s">
        <v>39</v>
      </c>
      <c r="C337" s="2" t="s">
        <v>32</v>
      </c>
      <c r="D337" s="2" t="s">
        <v>14</v>
      </c>
      <c r="E337" s="2">
        <v>55000</v>
      </c>
      <c r="F337" s="4" t="s">
        <v>20</v>
      </c>
      <c r="G337" s="11" t="s">
        <v>289</v>
      </c>
      <c r="H337" s="11" t="s">
        <v>35</v>
      </c>
      <c r="I337" s="2">
        <v>3575</v>
      </c>
      <c r="J337" s="2">
        <v>25022</v>
      </c>
    </row>
    <row r="338" spans="1:10" x14ac:dyDescent="0.3">
      <c r="A338" s="2" t="s">
        <v>619</v>
      </c>
      <c r="B338" s="2" t="s">
        <v>12</v>
      </c>
      <c r="C338" s="2" t="s">
        <v>13</v>
      </c>
      <c r="D338" s="2" t="s">
        <v>14</v>
      </c>
      <c r="E338" s="2">
        <v>32000</v>
      </c>
      <c r="F338" s="4" t="s">
        <v>15</v>
      </c>
      <c r="G338" s="11" t="s">
        <v>25</v>
      </c>
      <c r="H338" s="11" t="s">
        <v>26</v>
      </c>
      <c r="I338" s="2">
        <v>1057</v>
      </c>
      <c r="J338" s="2">
        <v>10569</v>
      </c>
    </row>
    <row r="339" spans="1:10" x14ac:dyDescent="0.3">
      <c r="A339" s="2" t="s">
        <v>620</v>
      </c>
      <c r="B339" s="2" t="s">
        <v>12</v>
      </c>
      <c r="C339" s="2" t="s">
        <v>13</v>
      </c>
      <c r="D339" s="2" t="s">
        <v>19</v>
      </c>
      <c r="E339" s="2">
        <v>29000</v>
      </c>
      <c r="F339" s="4" t="s">
        <v>20</v>
      </c>
      <c r="G339" s="11" t="s">
        <v>432</v>
      </c>
      <c r="H339" s="11" t="s">
        <v>29</v>
      </c>
      <c r="I339" s="2">
        <v>755</v>
      </c>
      <c r="J339" s="2">
        <v>11318</v>
      </c>
    </row>
    <row r="340" spans="1:10" x14ac:dyDescent="0.3">
      <c r="A340" s="2" t="s">
        <v>621</v>
      </c>
      <c r="B340" s="2" t="s">
        <v>622</v>
      </c>
      <c r="C340" s="2" t="s">
        <v>32</v>
      </c>
      <c r="D340" s="2" t="s">
        <v>14</v>
      </c>
      <c r="E340" s="2">
        <v>66123</v>
      </c>
      <c r="F340" s="4" t="s">
        <v>15</v>
      </c>
      <c r="G340" s="11" t="s">
        <v>289</v>
      </c>
      <c r="H340" s="11" t="s">
        <v>35</v>
      </c>
      <c r="I340" s="2">
        <v>15600</v>
      </c>
      <c r="J340" s="2">
        <v>93602</v>
      </c>
    </row>
    <row r="341" spans="1:10" x14ac:dyDescent="0.3">
      <c r="A341" s="2" t="s">
        <v>623</v>
      </c>
      <c r="B341" s="2" t="s">
        <v>624</v>
      </c>
      <c r="C341" s="2" t="s">
        <v>32</v>
      </c>
      <c r="D341" s="2" t="s">
        <v>14</v>
      </c>
      <c r="E341" s="2">
        <v>200000</v>
      </c>
      <c r="F341" s="4" t="s">
        <v>22</v>
      </c>
      <c r="G341" s="11" t="s">
        <v>289</v>
      </c>
      <c r="H341" s="11" t="s">
        <v>35</v>
      </c>
      <c r="I341" s="2">
        <v>6243</v>
      </c>
      <c r="J341" s="2">
        <v>56188</v>
      </c>
    </row>
    <row r="342" spans="1:10" x14ac:dyDescent="0.3">
      <c r="A342" s="2" t="s">
        <v>625</v>
      </c>
      <c r="B342" s="2" t="s">
        <v>429</v>
      </c>
      <c r="C342" s="2" t="s">
        <v>32</v>
      </c>
      <c r="D342" s="2" t="s">
        <v>14</v>
      </c>
      <c r="E342" s="2">
        <v>22000</v>
      </c>
      <c r="F342" s="4" t="s">
        <v>22</v>
      </c>
      <c r="G342" s="11" t="s">
        <v>289</v>
      </c>
      <c r="H342" s="11" t="s">
        <v>35</v>
      </c>
      <c r="I342" s="2">
        <v>15661</v>
      </c>
      <c r="J342" s="2">
        <v>93963</v>
      </c>
    </row>
    <row r="343" spans="1:10" x14ac:dyDescent="0.3">
      <c r="A343" s="2" t="s">
        <v>626</v>
      </c>
      <c r="B343" s="2" t="s">
        <v>627</v>
      </c>
      <c r="C343" s="2" t="s">
        <v>32</v>
      </c>
      <c r="D343" s="2" t="s">
        <v>14</v>
      </c>
      <c r="E343" s="2">
        <v>22000</v>
      </c>
      <c r="F343" s="4" t="s">
        <v>22</v>
      </c>
      <c r="G343" s="11" t="s">
        <v>628</v>
      </c>
      <c r="H343" s="11" t="s">
        <v>35</v>
      </c>
      <c r="I343" s="2">
        <v>4679</v>
      </c>
      <c r="J343" s="2">
        <v>18716</v>
      </c>
    </row>
    <row r="344" spans="1:10" x14ac:dyDescent="0.3">
      <c r="A344" s="2" t="s">
        <v>629</v>
      </c>
      <c r="B344" s="2" t="s">
        <v>105</v>
      </c>
      <c r="C344" s="2" t="s">
        <v>32</v>
      </c>
      <c r="D344" s="2" t="s">
        <v>14</v>
      </c>
      <c r="E344" s="2">
        <v>65000</v>
      </c>
      <c r="F344" s="4" t="s">
        <v>22</v>
      </c>
      <c r="G344" s="11" t="s">
        <v>628</v>
      </c>
      <c r="H344" s="11" t="s">
        <v>35</v>
      </c>
      <c r="I344" s="2">
        <v>3455</v>
      </c>
      <c r="J344" s="2">
        <v>58737</v>
      </c>
    </row>
    <row r="345" spans="1:10" x14ac:dyDescent="0.3">
      <c r="A345" s="2" t="s">
        <v>630</v>
      </c>
      <c r="B345" s="2" t="s">
        <v>631</v>
      </c>
      <c r="C345" s="2" t="s">
        <v>32</v>
      </c>
      <c r="D345" s="2" t="s">
        <v>14</v>
      </c>
      <c r="E345" s="2">
        <v>52000</v>
      </c>
      <c r="F345" s="4" t="s">
        <v>22</v>
      </c>
      <c r="G345" s="11" t="s">
        <v>628</v>
      </c>
      <c r="H345" s="11" t="s">
        <v>35</v>
      </c>
      <c r="I345" s="2">
        <v>3815</v>
      </c>
      <c r="J345" s="2">
        <v>34338</v>
      </c>
    </row>
    <row r="346" spans="1:10" x14ac:dyDescent="0.3">
      <c r="A346" s="2" t="s">
        <v>632</v>
      </c>
      <c r="B346" s="2" t="s">
        <v>633</v>
      </c>
      <c r="C346" s="2" t="s">
        <v>32</v>
      </c>
      <c r="D346" s="2" t="s">
        <v>14</v>
      </c>
      <c r="E346" s="2">
        <v>85000</v>
      </c>
      <c r="F346" s="4" t="s">
        <v>22</v>
      </c>
      <c r="G346" s="11" t="s">
        <v>628</v>
      </c>
      <c r="H346" s="11" t="s">
        <v>35</v>
      </c>
      <c r="I346" s="2">
        <v>13498</v>
      </c>
      <c r="J346" s="2">
        <v>134982</v>
      </c>
    </row>
    <row r="347" spans="1:10" x14ac:dyDescent="0.3">
      <c r="A347" s="2" t="s">
        <v>634</v>
      </c>
      <c r="B347" s="2" t="s">
        <v>635</v>
      </c>
      <c r="C347" s="2" t="s">
        <v>32</v>
      </c>
      <c r="D347" s="2" t="s">
        <v>14</v>
      </c>
      <c r="E347" s="2">
        <v>42500.120999999999</v>
      </c>
      <c r="F347" s="4" t="s">
        <v>20</v>
      </c>
      <c r="G347" s="11" t="s">
        <v>628</v>
      </c>
      <c r="H347" s="11" t="s">
        <v>35</v>
      </c>
      <c r="I347" s="2">
        <v>733</v>
      </c>
      <c r="J347" s="2">
        <v>7330</v>
      </c>
    </row>
    <row r="348" spans="1:10" x14ac:dyDescent="0.3">
      <c r="A348" s="2" t="s">
        <v>636</v>
      </c>
      <c r="B348" s="2" t="s">
        <v>637</v>
      </c>
      <c r="C348" s="2" t="s">
        <v>32</v>
      </c>
      <c r="D348" s="2" t="s">
        <v>14</v>
      </c>
      <c r="E348" s="2">
        <v>66000</v>
      </c>
      <c r="F348" s="4" t="s">
        <v>15</v>
      </c>
      <c r="G348" s="11" t="s">
        <v>628</v>
      </c>
      <c r="H348" s="11" t="s">
        <v>35</v>
      </c>
      <c r="I348" s="2">
        <v>3946</v>
      </c>
      <c r="J348" s="2">
        <v>51298</v>
      </c>
    </row>
    <row r="349" spans="1:10" x14ac:dyDescent="0.3">
      <c r="A349" s="2" t="s">
        <v>638</v>
      </c>
      <c r="B349" s="2" t="s">
        <v>639</v>
      </c>
      <c r="C349" s="2" t="s">
        <v>32</v>
      </c>
      <c r="D349" s="2" t="s">
        <v>14</v>
      </c>
      <c r="E349" s="2">
        <v>36400</v>
      </c>
      <c r="F349" s="4" t="s">
        <v>22</v>
      </c>
      <c r="G349" s="11" t="s">
        <v>628</v>
      </c>
      <c r="H349" s="11" t="s">
        <v>35</v>
      </c>
      <c r="I349" s="2">
        <v>2357</v>
      </c>
      <c r="J349" s="2">
        <v>11784</v>
      </c>
    </row>
    <row r="350" spans="1:10" x14ac:dyDescent="0.3">
      <c r="A350" s="2" t="s">
        <v>640</v>
      </c>
      <c r="B350" s="2" t="s">
        <v>12</v>
      </c>
      <c r="C350" s="2" t="s">
        <v>13</v>
      </c>
      <c r="D350" s="2" t="s">
        <v>33</v>
      </c>
      <c r="E350" s="2">
        <v>55000</v>
      </c>
      <c r="F350" s="4" t="s">
        <v>15</v>
      </c>
      <c r="G350" s="11" t="s">
        <v>432</v>
      </c>
      <c r="H350" s="11" t="s">
        <v>29</v>
      </c>
      <c r="I350" s="2">
        <v>7612</v>
      </c>
      <c r="J350" s="2">
        <v>114182</v>
      </c>
    </row>
    <row r="351" spans="1:10" x14ac:dyDescent="0.3">
      <c r="A351" s="2" t="s">
        <v>641</v>
      </c>
      <c r="B351" s="2" t="s">
        <v>642</v>
      </c>
      <c r="C351" s="2" t="s">
        <v>32</v>
      </c>
      <c r="D351" s="2" t="s">
        <v>14</v>
      </c>
      <c r="E351" s="2">
        <v>70000</v>
      </c>
      <c r="F351" s="4" t="s">
        <v>20</v>
      </c>
      <c r="G351" s="11" t="s">
        <v>628</v>
      </c>
      <c r="H351" s="11" t="s">
        <v>35</v>
      </c>
      <c r="I351" s="2">
        <v>4134</v>
      </c>
      <c r="J351" s="2">
        <v>24805</v>
      </c>
    </row>
    <row r="352" spans="1:10" x14ac:dyDescent="0.3">
      <c r="A352" s="2" t="s">
        <v>643</v>
      </c>
      <c r="B352" s="2" t="s">
        <v>644</v>
      </c>
      <c r="C352" s="2" t="s">
        <v>32</v>
      </c>
      <c r="D352" s="2" t="s">
        <v>14</v>
      </c>
      <c r="E352" s="2">
        <v>45000</v>
      </c>
      <c r="F352" s="4" t="s">
        <v>20</v>
      </c>
      <c r="G352" s="11" t="s">
        <v>628</v>
      </c>
      <c r="H352" s="11" t="s">
        <v>35</v>
      </c>
      <c r="I352" s="2">
        <v>667</v>
      </c>
      <c r="J352" s="2">
        <v>7332</v>
      </c>
    </row>
    <row r="353" spans="1:10" x14ac:dyDescent="0.3">
      <c r="A353" s="2" t="s">
        <v>645</v>
      </c>
      <c r="B353" s="2" t="s">
        <v>646</v>
      </c>
      <c r="C353" s="2" t="s">
        <v>32</v>
      </c>
      <c r="D353" s="2" t="s">
        <v>14</v>
      </c>
      <c r="E353" s="2">
        <v>80250</v>
      </c>
      <c r="F353" s="4" t="s">
        <v>15</v>
      </c>
      <c r="G353" s="11" t="s">
        <v>628</v>
      </c>
      <c r="H353" s="11" t="s">
        <v>35</v>
      </c>
      <c r="I353" s="2">
        <v>6425</v>
      </c>
      <c r="J353" s="2">
        <v>70671</v>
      </c>
    </row>
    <row r="354" spans="1:10" x14ac:dyDescent="0.3">
      <c r="A354" s="2" t="s">
        <v>647</v>
      </c>
      <c r="B354" s="2" t="s">
        <v>648</v>
      </c>
      <c r="C354" s="2" t="s">
        <v>32</v>
      </c>
      <c r="D354" s="2" t="s">
        <v>14</v>
      </c>
      <c r="E354" s="2">
        <v>65000</v>
      </c>
      <c r="F354" s="4" t="s">
        <v>22</v>
      </c>
      <c r="G354" s="11" t="s">
        <v>628</v>
      </c>
      <c r="H354" s="11" t="s">
        <v>35</v>
      </c>
      <c r="I354" s="2">
        <v>1464</v>
      </c>
      <c r="J354" s="2">
        <v>27823</v>
      </c>
    </row>
    <row r="355" spans="1:10" x14ac:dyDescent="0.3">
      <c r="A355" s="2" t="s">
        <v>649</v>
      </c>
      <c r="B355" s="2" t="s">
        <v>650</v>
      </c>
      <c r="C355" s="2" t="s">
        <v>32</v>
      </c>
      <c r="D355" s="2" t="s">
        <v>14</v>
      </c>
      <c r="E355" s="2">
        <v>60000</v>
      </c>
      <c r="F355" s="4" t="s">
        <v>20</v>
      </c>
      <c r="G355" s="11" t="s">
        <v>628</v>
      </c>
      <c r="H355" s="11" t="s">
        <v>35</v>
      </c>
      <c r="I355" s="2">
        <v>1680</v>
      </c>
      <c r="J355" s="2">
        <v>3359</v>
      </c>
    </row>
    <row r="356" spans="1:10" x14ac:dyDescent="0.3">
      <c r="A356" s="2" t="s">
        <v>651</v>
      </c>
      <c r="B356" s="2" t="s">
        <v>652</v>
      </c>
      <c r="C356" s="2" t="s">
        <v>32</v>
      </c>
      <c r="D356" s="2" t="s">
        <v>14</v>
      </c>
      <c r="E356" s="2">
        <v>25000</v>
      </c>
      <c r="F356" s="4" t="s">
        <v>22</v>
      </c>
      <c r="G356" s="11" t="s">
        <v>628</v>
      </c>
      <c r="H356" s="11" t="s">
        <v>35</v>
      </c>
      <c r="I356" s="2">
        <v>497</v>
      </c>
      <c r="J356" s="2">
        <v>6954</v>
      </c>
    </row>
    <row r="357" spans="1:10" x14ac:dyDescent="0.3">
      <c r="A357" s="2" t="s">
        <v>653</v>
      </c>
      <c r="B357" s="2" t="s">
        <v>654</v>
      </c>
      <c r="C357" s="2" t="s">
        <v>32</v>
      </c>
      <c r="D357" s="2" t="s">
        <v>33</v>
      </c>
      <c r="E357" s="2">
        <v>46000</v>
      </c>
      <c r="F357" s="4" t="s">
        <v>20</v>
      </c>
      <c r="G357" s="11" t="s">
        <v>628</v>
      </c>
      <c r="H357" s="11" t="s">
        <v>35</v>
      </c>
      <c r="I357" s="2">
        <v>2242</v>
      </c>
      <c r="J357" s="2">
        <v>17935</v>
      </c>
    </row>
    <row r="358" spans="1:10" x14ac:dyDescent="0.3">
      <c r="A358" s="2" t="s">
        <v>655</v>
      </c>
      <c r="B358" s="2" t="s">
        <v>656</v>
      </c>
      <c r="C358" s="2" t="s">
        <v>32</v>
      </c>
      <c r="D358" s="2" t="s">
        <v>14</v>
      </c>
      <c r="E358" s="2">
        <v>55000</v>
      </c>
      <c r="F358" s="4" t="s">
        <v>22</v>
      </c>
      <c r="G358" s="11" t="s">
        <v>628</v>
      </c>
      <c r="H358" s="11" t="s">
        <v>35</v>
      </c>
      <c r="I358" s="2">
        <v>1298</v>
      </c>
      <c r="J358" s="2">
        <v>5193</v>
      </c>
    </row>
    <row r="359" spans="1:10" x14ac:dyDescent="0.3">
      <c r="A359" s="2" t="s">
        <v>657</v>
      </c>
      <c r="B359" s="2" t="s">
        <v>658</v>
      </c>
      <c r="C359" s="2" t="s">
        <v>32</v>
      </c>
      <c r="D359" s="2" t="s">
        <v>14</v>
      </c>
      <c r="E359" s="2">
        <v>55000</v>
      </c>
      <c r="F359" s="4" t="s">
        <v>22</v>
      </c>
      <c r="G359" s="11" t="s">
        <v>628</v>
      </c>
      <c r="H359" s="11" t="s">
        <v>35</v>
      </c>
      <c r="I359" s="2">
        <v>3504</v>
      </c>
      <c r="J359" s="2">
        <v>56057</v>
      </c>
    </row>
    <row r="360" spans="1:10" x14ac:dyDescent="0.3">
      <c r="A360" s="2" t="s">
        <v>659</v>
      </c>
      <c r="B360" s="2" t="s">
        <v>341</v>
      </c>
      <c r="C360" s="2" t="s">
        <v>32</v>
      </c>
      <c r="D360" s="2" t="s">
        <v>14</v>
      </c>
      <c r="E360" s="2">
        <v>65000</v>
      </c>
      <c r="F360" s="4" t="s">
        <v>20</v>
      </c>
      <c r="G360" s="11" t="s">
        <v>628</v>
      </c>
      <c r="H360" s="11" t="s">
        <v>35</v>
      </c>
      <c r="I360" s="2">
        <v>1954</v>
      </c>
      <c r="J360" s="2">
        <v>9769</v>
      </c>
    </row>
    <row r="361" spans="1:10" x14ac:dyDescent="0.3">
      <c r="A361" s="2" t="s">
        <v>660</v>
      </c>
      <c r="B361" s="2" t="s">
        <v>12</v>
      </c>
      <c r="C361" s="2" t="s">
        <v>13</v>
      </c>
      <c r="D361" s="2" t="s">
        <v>14</v>
      </c>
      <c r="E361" s="2">
        <v>100000</v>
      </c>
      <c r="F361" s="4" t="s">
        <v>20</v>
      </c>
      <c r="G361" s="11" t="s">
        <v>432</v>
      </c>
      <c r="H361" s="11" t="s">
        <v>29</v>
      </c>
      <c r="I361" s="2">
        <v>1266</v>
      </c>
      <c r="J361" s="2">
        <v>10131</v>
      </c>
    </row>
    <row r="362" spans="1:10" x14ac:dyDescent="0.3">
      <c r="A362" s="2" t="s">
        <v>661</v>
      </c>
      <c r="B362" s="2" t="s">
        <v>662</v>
      </c>
      <c r="C362" s="2" t="s">
        <v>32</v>
      </c>
      <c r="D362" s="2" t="s">
        <v>19</v>
      </c>
      <c r="E362" s="2">
        <v>75000</v>
      </c>
      <c r="F362" s="4" t="s">
        <v>20</v>
      </c>
      <c r="G362" s="11" t="s">
        <v>628</v>
      </c>
      <c r="H362" s="11" t="s">
        <v>35</v>
      </c>
      <c r="I362" s="2">
        <v>42699</v>
      </c>
      <c r="J362" s="2">
        <v>512387</v>
      </c>
    </row>
    <row r="363" spans="1:10" x14ac:dyDescent="0.3">
      <c r="A363" s="2" t="s">
        <v>663</v>
      </c>
      <c r="B363" s="2" t="s">
        <v>664</v>
      </c>
      <c r="C363" s="2" t="s">
        <v>32</v>
      </c>
      <c r="D363" s="2" t="s">
        <v>33</v>
      </c>
      <c r="E363" s="2">
        <v>122000</v>
      </c>
      <c r="F363" s="4" t="s">
        <v>15</v>
      </c>
      <c r="G363" s="11" t="s">
        <v>628</v>
      </c>
      <c r="H363" s="11" t="s">
        <v>35</v>
      </c>
      <c r="I363" s="2">
        <v>3505</v>
      </c>
      <c r="J363" s="2">
        <v>35045</v>
      </c>
    </row>
    <row r="364" spans="1:10" x14ac:dyDescent="0.3">
      <c r="A364" s="2" t="s">
        <v>665</v>
      </c>
      <c r="B364" s="2" t="s">
        <v>666</v>
      </c>
      <c r="C364" s="2" t="s">
        <v>32</v>
      </c>
      <c r="D364" s="2" t="s">
        <v>14</v>
      </c>
      <c r="E364" s="2">
        <v>90000</v>
      </c>
      <c r="F364" s="4" t="s">
        <v>20</v>
      </c>
      <c r="G364" s="11" t="s">
        <v>628</v>
      </c>
      <c r="H364" s="11" t="s">
        <v>35</v>
      </c>
      <c r="I364" s="2">
        <v>3194</v>
      </c>
      <c r="J364" s="2">
        <v>25548</v>
      </c>
    </row>
    <row r="365" spans="1:10" x14ac:dyDescent="0.3">
      <c r="A365" s="2" t="s">
        <v>667</v>
      </c>
      <c r="B365" s="2" t="s">
        <v>668</v>
      </c>
      <c r="C365" s="2" t="s">
        <v>32</v>
      </c>
      <c r="D365" s="2" t="s">
        <v>14</v>
      </c>
      <c r="E365" s="2">
        <v>109000</v>
      </c>
      <c r="F365" s="4" t="s">
        <v>20</v>
      </c>
      <c r="G365" s="11" t="s">
        <v>628</v>
      </c>
      <c r="H365" s="11" t="s">
        <v>35</v>
      </c>
      <c r="I365" s="2">
        <v>2817</v>
      </c>
      <c r="J365" s="2">
        <v>33807</v>
      </c>
    </row>
    <row r="366" spans="1:10" x14ac:dyDescent="0.3">
      <c r="A366" s="2" t="s">
        <v>669</v>
      </c>
      <c r="B366" s="2" t="s">
        <v>670</v>
      </c>
      <c r="C366" s="2" t="s">
        <v>32</v>
      </c>
      <c r="D366" s="2" t="s">
        <v>14</v>
      </c>
      <c r="E366" s="2">
        <v>140000</v>
      </c>
      <c r="F366" s="4" t="s">
        <v>22</v>
      </c>
      <c r="G366" s="11" t="s">
        <v>628</v>
      </c>
      <c r="H366" s="11" t="s">
        <v>35</v>
      </c>
      <c r="I366" s="2">
        <v>371</v>
      </c>
      <c r="J366" s="2">
        <v>1855</v>
      </c>
    </row>
    <row r="367" spans="1:10" x14ac:dyDescent="0.3">
      <c r="A367" s="2" t="s">
        <v>671</v>
      </c>
      <c r="B367" s="2" t="s">
        <v>672</v>
      </c>
      <c r="C367" s="2" t="s">
        <v>32</v>
      </c>
      <c r="D367" s="2" t="s">
        <v>14</v>
      </c>
      <c r="E367" s="2">
        <v>60000</v>
      </c>
      <c r="F367" s="4" t="s">
        <v>22</v>
      </c>
      <c r="G367" s="11" t="s">
        <v>628</v>
      </c>
      <c r="H367" s="11" t="s">
        <v>35</v>
      </c>
      <c r="I367" s="2">
        <v>1708</v>
      </c>
      <c r="J367" s="2">
        <v>11959</v>
      </c>
    </row>
    <row r="368" spans="1:10" x14ac:dyDescent="0.3">
      <c r="A368" s="2" t="s">
        <v>673</v>
      </c>
      <c r="B368" s="2" t="s">
        <v>674</v>
      </c>
      <c r="C368" s="2" t="s">
        <v>32</v>
      </c>
      <c r="D368" s="2" t="s">
        <v>14</v>
      </c>
      <c r="E368" s="2">
        <v>70000</v>
      </c>
      <c r="F368" s="4" t="s">
        <v>20</v>
      </c>
      <c r="G368" s="11" t="s">
        <v>628</v>
      </c>
      <c r="H368" s="11" t="s">
        <v>35</v>
      </c>
      <c r="I368" s="2">
        <v>4725</v>
      </c>
      <c r="J368" s="2">
        <v>51972</v>
      </c>
    </row>
    <row r="369" spans="1:10" x14ac:dyDescent="0.3">
      <c r="A369" s="2" t="s">
        <v>675</v>
      </c>
      <c r="B369" s="2" t="s">
        <v>39</v>
      </c>
      <c r="C369" s="2" t="s">
        <v>32</v>
      </c>
      <c r="D369" s="2" t="s">
        <v>14</v>
      </c>
      <c r="E369" s="2">
        <v>86000</v>
      </c>
      <c r="F369" s="4" t="s">
        <v>20</v>
      </c>
      <c r="G369" s="11" t="s">
        <v>628</v>
      </c>
      <c r="H369" s="11" t="s">
        <v>35</v>
      </c>
      <c r="I369" s="2">
        <v>2415</v>
      </c>
      <c r="J369" s="2">
        <v>21733</v>
      </c>
    </row>
    <row r="370" spans="1:10" x14ac:dyDescent="0.3">
      <c r="A370" s="2" t="s">
        <v>676</v>
      </c>
      <c r="B370" s="2" t="s">
        <v>677</v>
      </c>
      <c r="C370" s="2" t="s">
        <v>32</v>
      </c>
      <c r="D370" s="2" t="s">
        <v>14</v>
      </c>
      <c r="E370" s="2">
        <v>143000</v>
      </c>
      <c r="F370" s="4" t="s">
        <v>22</v>
      </c>
      <c r="G370" s="11" t="s">
        <v>628</v>
      </c>
      <c r="H370" s="11" t="s">
        <v>35</v>
      </c>
      <c r="I370" s="2">
        <v>4149</v>
      </c>
      <c r="J370" s="2">
        <v>45641</v>
      </c>
    </row>
    <row r="371" spans="1:10" x14ac:dyDescent="0.3">
      <c r="A371" s="2" t="s">
        <v>678</v>
      </c>
      <c r="B371" s="2" t="s">
        <v>679</v>
      </c>
      <c r="C371" s="2" t="s">
        <v>32</v>
      </c>
      <c r="D371" s="2" t="s">
        <v>14</v>
      </c>
      <c r="E371" s="2">
        <v>38400</v>
      </c>
      <c r="F371" s="4" t="s">
        <v>20</v>
      </c>
      <c r="G371" s="11" t="s">
        <v>628</v>
      </c>
      <c r="H371" s="11" t="s">
        <v>35</v>
      </c>
      <c r="I371" s="2">
        <v>6866</v>
      </c>
      <c r="J371" s="2">
        <v>48062</v>
      </c>
    </row>
    <row r="372" spans="1:10" x14ac:dyDescent="0.3">
      <c r="A372" s="2" t="s">
        <v>680</v>
      </c>
      <c r="B372" s="2" t="s">
        <v>12</v>
      </c>
      <c r="C372" s="2" t="s">
        <v>13</v>
      </c>
      <c r="D372" s="2" t="s">
        <v>33</v>
      </c>
      <c r="E372" s="2">
        <v>15600</v>
      </c>
      <c r="F372" s="4" t="s">
        <v>15</v>
      </c>
      <c r="G372" s="11" t="s">
        <v>432</v>
      </c>
      <c r="H372" s="11" t="s">
        <v>29</v>
      </c>
      <c r="I372" s="2">
        <v>419</v>
      </c>
      <c r="J372" s="2">
        <v>5442</v>
      </c>
    </row>
    <row r="373" spans="1:10" x14ac:dyDescent="0.3">
      <c r="A373" s="2" t="s">
        <v>681</v>
      </c>
      <c r="B373" s="2" t="s">
        <v>682</v>
      </c>
      <c r="C373" s="2" t="s">
        <v>32</v>
      </c>
      <c r="D373" s="2" t="s">
        <v>14</v>
      </c>
      <c r="E373" s="2">
        <v>42000</v>
      </c>
      <c r="F373" s="4" t="s">
        <v>22</v>
      </c>
      <c r="G373" s="11" t="s">
        <v>628</v>
      </c>
      <c r="H373" s="11" t="s">
        <v>35</v>
      </c>
      <c r="I373" s="2">
        <v>997</v>
      </c>
      <c r="J373" s="2">
        <v>11968</v>
      </c>
    </row>
    <row r="374" spans="1:10" x14ac:dyDescent="0.3">
      <c r="A374" s="2" t="s">
        <v>683</v>
      </c>
      <c r="B374" s="2" t="s">
        <v>662</v>
      </c>
      <c r="C374" s="2" t="s">
        <v>32</v>
      </c>
      <c r="D374" s="2" t="s">
        <v>14</v>
      </c>
      <c r="E374" s="2">
        <v>90000</v>
      </c>
      <c r="F374" s="4" t="s">
        <v>20</v>
      </c>
      <c r="G374" s="11" t="s">
        <v>628</v>
      </c>
      <c r="H374" s="11" t="s">
        <v>35</v>
      </c>
      <c r="I374" s="2">
        <v>735</v>
      </c>
      <c r="J374" s="2">
        <v>10294</v>
      </c>
    </row>
    <row r="375" spans="1:10" x14ac:dyDescent="0.3">
      <c r="A375" s="2" t="s">
        <v>684</v>
      </c>
      <c r="B375" s="2" t="s">
        <v>238</v>
      </c>
      <c r="C375" s="2" t="s">
        <v>32</v>
      </c>
      <c r="D375" s="2" t="s">
        <v>19</v>
      </c>
      <c r="E375" s="2">
        <v>52000</v>
      </c>
      <c r="F375" s="4" t="s">
        <v>22</v>
      </c>
      <c r="G375" s="11" t="s">
        <v>628</v>
      </c>
      <c r="H375" s="11" t="s">
        <v>35</v>
      </c>
      <c r="I375" s="2">
        <v>29788</v>
      </c>
      <c r="J375" s="2">
        <v>178727</v>
      </c>
    </row>
    <row r="376" spans="1:10" x14ac:dyDescent="0.3">
      <c r="A376" s="2" t="s">
        <v>685</v>
      </c>
      <c r="B376" s="2" t="s">
        <v>686</v>
      </c>
      <c r="C376" s="2" t="s">
        <v>32</v>
      </c>
      <c r="D376" s="2" t="s">
        <v>14</v>
      </c>
      <c r="E376" s="2">
        <v>200000</v>
      </c>
      <c r="F376" s="4" t="s">
        <v>20</v>
      </c>
      <c r="G376" s="11" t="s">
        <v>628</v>
      </c>
      <c r="H376" s="11" t="s">
        <v>35</v>
      </c>
      <c r="I376" s="2">
        <v>5914</v>
      </c>
      <c r="J376" s="2">
        <v>118282</v>
      </c>
    </row>
    <row r="377" spans="1:10" x14ac:dyDescent="0.3">
      <c r="A377" s="2" t="s">
        <v>687</v>
      </c>
      <c r="B377" s="2" t="s">
        <v>467</v>
      </c>
      <c r="C377" s="2" t="s">
        <v>32</v>
      </c>
      <c r="D377" s="2" t="s">
        <v>33</v>
      </c>
      <c r="E377" s="2">
        <v>92500</v>
      </c>
      <c r="F377" s="4" t="s">
        <v>20</v>
      </c>
      <c r="G377" s="11" t="s">
        <v>628</v>
      </c>
      <c r="H377" s="11" t="s">
        <v>35</v>
      </c>
      <c r="I377" s="2">
        <v>14806</v>
      </c>
      <c r="J377" s="2">
        <v>162864</v>
      </c>
    </row>
    <row r="378" spans="1:10" x14ac:dyDescent="0.3">
      <c r="A378" s="2" t="s">
        <v>688</v>
      </c>
      <c r="B378" s="2" t="s">
        <v>689</v>
      </c>
      <c r="C378" s="2" t="s">
        <v>32</v>
      </c>
      <c r="D378" s="2" t="s">
        <v>33</v>
      </c>
      <c r="E378" s="2">
        <v>68000</v>
      </c>
      <c r="F378" s="4" t="s">
        <v>22</v>
      </c>
      <c r="G378" s="11" t="s">
        <v>628</v>
      </c>
      <c r="H378" s="11" t="s">
        <v>35</v>
      </c>
      <c r="I378" s="2">
        <v>19881</v>
      </c>
      <c r="J378" s="2">
        <v>178933</v>
      </c>
    </row>
    <row r="379" spans="1:10" x14ac:dyDescent="0.3">
      <c r="A379" s="2" t="s">
        <v>690</v>
      </c>
      <c r="B379" s="2" t="s">
        <v>691</v>
      </c>
      <c r="C379" s="2" t="s">
        <v>32</v>
      </c>
      <c r="D379" s="2" t="s">
        <v>14</v>
      </c>
      <c r="E379" s="2">
        <v>32000</v>
      </c>
      <c r="F379" s="4" t="s">
        <v>20</v>
      </c>
      <c r="G379" s="11" t="s">
        <v>628</v>
      </c>
      <c r="H379" s="11" t="s">
        <v>35</v>
      </c>
      <c r="I379" s="2">
        <v>405</v>
      </c>
      <c r="J379" s="2">
        <v>4856</v>
      </c>
    </row>
    <row r="380" spans="1:10" x14ac:dyDescent="0.3">
      <c r="A380" s="2" t="s">
        <v>692</v>
      </c>
      <c r="B380" s="2" t="s">
        <v>693</v>
      </c>
      <c r="C380" s="2" t="s">
        <v>32</v>
      </c>
      <c r="D380" s="2" t="s">
        <v>14</v>
      </c>
      <c r="E380" s="2">
        <v>52000</v>
      </c>
      <c r="F380" s="4" t="s">
        <v>22</v>
      </c>
      <c r="G380" s="11" t="s">
        <v>628</v>
      </c>
      <c r="H380" s="11" t="s">
        <v>35</v>
      </c>
      <c r="I380" s="2">
        <v>7324</v>
      </c>
      <c r="J380" s="2">
        <v>43946</v>
      </c>
    </row>
    <row r="381" spans="1:10" x14ac:dyDescent="0.3">
      <c r="A381" s="2" t="s">
        <v>694</v>
      </c>
      <c r="B381" s="2" t="s">
        <v>457</v>
      </c>
      <c r="C381" s="2" t="s">
        <v>32</v>
      </c>
      <c r="D381" s="2" t="s">
        <v>14</v>
      </c>
      <c r="E381" s="2">
        <v>80000</v>
      </c>
      <c r="F381" s="4" t="s">
        <v>22</v>
      </c>
      <c r="G381" s="11" t="s">
        <v>628</v>
      </c>
      <c r="H381" s="11" t="s">
        <v>35</v>
      </c>
      <c r="I381" s="2">
        <v>2229</v>
      </c>
      <c r="J381" s="2">
        <v>24516</v>
      </c>
    </row>
    <row r="382" spans="1:10" x14ac:dyDescent="0.3">
      <c r="A382" s="2" t="s">
        <v>695</v>
      </c>
      <c r="B382" s="2" t="s">
        <v>662</v>
      </c>
      <c r="C382" s="2" t="s">
        <v>32</v>
      </c>
      <c r="D382" s="2" t="s">
        <v>14</v>
      </c>
      <c r="E382" s="2">
        <v>90000</v>
      </c>
      <c r="F382" s="4" t="s">
        <v>22</v>
      </c>
      <c r="G382" s="11" t="s">
        <v>628</v>
      </c>
      <c r="H382" s="11" t="s">
        <v>35</v>
      </c>
      <c r="I382" s="2">
        <v>2127</v>
      </c>
      <c r="J382" s="2">
        <v>19143</v>
      </c>
    </row>
    <row r="383" spans="1:10" x14ac:dyDescent="0.3">
      <c r="A383" s="2" t="s">
        <v>696</v>
      </c>
      <c r="B383" s="2" t="s">
        <v>12</v>
      </c>
      <c r="C383" s="2" t="s">
        <v>13</v>
      </c>
      <c r="D383" s="2" t="s">
        <v>697</v>
      </c>
      <c r="E383" s="2">
        <v>22000</v>
      </c>
      <c r="F383" s="4" t="s">
        <v>20</v>
      </c>
      <c r="G383" s="11" t="s">
        <v>432</v>
      </c>
      <c r="H383" s="11" t="s">
        <v>29</v>
      </c>
      <c r="I383" s="2">
        <v>21303</v>
      </c>
      <c r="J383" s="2">
        <v>170422</v>
      </c>
    </row>
    <row r="384" spans="1:10" x14ac:dyDescent="0.3">
      <c r="A384" s="2" t="s">
        <v>698</v>
      </c>
      <c r="B384" s="2" t="s">
        <v>699</v>
      </c>
      <c r="C384" s="2" t="s">
        <v>32</v>
      </c>
      <c r="D384" s="2" t="s">
        <v>14</v>
      </c>
      <c r="E384" s="2">
        <v>48000</v>
      </c>
      <c r="F384" s="4" t="s">
        <v>22</v>
      </c>
      <c r="G384" s="11" t="s">
        <v>628</v>
      </c>
      <c r="H384" s="11" t="s">
        <v>35</v>
      </c>
      <c r="I384" s="2">
        <v>3073</v>
      </c>
      <c r="J384" s="2">
        <v>33801</v>
      </c>
    </row>
    <row r="385" spans="1:10" x14ac:dyDescent="0.3">
      <c r="A385" s="2" t="s">
        <v>700</v>
      </c>
      <c r="B385" s="2" t="s">
        <v>238</v>
      </c>
      <c r="C385" s="2" t="s">
        <v>32</v>
      </c>
      <c r="D385" s="2" t="s">
        <v>14</v>
      </c>
      <c r="E385" s="2">
        <v>50000</v>
      </c>
      <c r="F385" s="4" t="s">
        <v>20</v>
      </c>
      <c r="G385" s="11" t="s">
        <v>628</v>
      </c>
      <c r="H385" s="11" t="s">
        <v>35</v>
      </c>
      <c r="I385" s="2">
        <v>4805</v>
      </c>
      <c r="J385" s="2">
        <v>38443</v>
      </c>
    </row>
    <row r="386" spans="1:10" x14ac:dyDescent="0.3">
      <c r="A386" s="2" t="s">
        <v>701</v>
      </c>
      <c r="B386" s="2" t="s">
        <v>702</v>
      </c>
      <c r="C386" s="2" t="s">
        <v>32</v>
      </c>
      <c r="D386" s="2" t="s">
        <v>14</v>
      </c>
      <c r="E386" s="2">
        <v>65000</v>
      </c>
      <c r="F386" s="4" t="s">
        <v>20</v>
      </c>
      <c r="G386" s="11" t="s">
        <v>628</v>
      </c>
      <c r="H386" s="11" t="s">
        <v>35</v>
      </c>
      <c r="I386" s="2">
        <v>1403</v>
      </c>
      <c r="J386" s="2">
        <v>19641</v>
      </c>
    </row>
    <row r="387" spans="1:10" x14ac:dyDescent="0.3">
      <c r="A387" s="2" t="s">
        <v>703</v>
      </c>
      <c r="B387" s="2" t="s">
        <v>115</v>
      </c>
      <c r="C387" s="2" t="s">
        <v>32</v>
      </c>
      <c r="D387" s="2" t="s">
        <v>33</v>
      </c>
      <c r="E387" s="2">
        <v>48000</v>
      </c>
      <c r="F387" s="4" t="s">
        <v>22</v>
      </c>
      <c r="G387" s="11" t="s">
        <v>628</v>
      </c>
      <c r="H387" s="11" t="s">
        <v>35</v>
      </c>
      <c r="I387" s="2">
        <v>16164</v>
      </c>
      <c r="J387" s="2">
        <v>96983</v>
      </c>
    </row>
    <row r="388" spans="1:10" x14ac:dyDescent="0.3">
      <c r="A388" s="2" t="s">
        <v>704</v>
      </c>
      <c r="B388" s="2" t="s">
        <v>393</v>
      </c>
      <c r="C388" s="2" t="s">
        <v>32</v>
      </c>
      <c r="D388" s="2" t="s">
        <v>19</v>
      </c>
      <c r="E388" s="2">
        <v>98000</v>
      </c>
      <c r="F388" s="4" t="s">
        <v>22</v>
      </c>
      <c r="G388" s="11" t="s">
        <v>628</v>
      </c>
      <c r="H388" s="11" t="s">
        <v>35</v>
      </c>
      <c r="I388" s="2">
        <v>15154</v>
      </c>
      <c r="J388" s="2">
        <v>197004</v>
      </c>
    </row>
    <row r="389" spans="1:10" x14ac:dyDescent="0.3">
      <c r="A389" s="2" t="s">
        <v>705</v>
      </c>
      <c r="B389" s="2" t="s">
        <v>706</v>
      </c>
      <c r="C389" s="2" t="s">
        <v>32</v>
      </c>
      <c r="D389" s="2" t="s">
        <v>14</v>
      </c>
      <c r="E389" s="2">
        <v>72000</v>
      </c>
      <c r="F389" s="4" t="s">
        <v>15</v>
      </c>
      <c r="G389" s="11" t="s">
        <v>628</v>
      </c>
      <c r="H389" s="11" t="s">
        <v>35</v>
      </c>
      <c r="I389" s="2">
        <v>1051</v>
      </c>
      <c r="J389" s="2">
        <v>10505</v>
      </c>
    </row>
    <row r="390" spans="1:10" x14ac:dyDescent="0.3">
      <c r="A390" s="2" t="s">
        <v>707</v>
      </c>
      <c r="B390" s="2" t="s">
        <v>708</v>
      </c>
      <c r="C390" s="2" t="s">
        <v>32</v>
      </c>
      <c r="D390" s="2" t="s">
        <v>33</v>
      </c>
      <c r="E390" s="2">
        <v>67173.508000000002</v>
      </c>
      <c r="F390" s="4" t="s">
        <v>20</v>
      </c>
      <c r="G390" s="11" t="s">
        <v>628</v>
      </c>
      <c r="H390" s="11" t="s">
        <v>35</v>
      </c>
      <c r="I390" s="2">
        <v>12990</v>
      </c>
      <c r="J390" s="2">
        <v>246805</v>
      </c>
    </row>
    <row r="391" spans="1:10" x14ac:dyDescent="0.3">
      <c r="A391" s="2" t="s">
        <v>709</v>
      </c>
      <c r="B391" s="2" t="s">
        <v>92</v>
      </c>
      <c r="C391" s="2" t="s">
        <v>32</v>
      </c>
      <c r="D391" s="2" t="s">
        <v>19</v>
      </c>
      <c r="E391" s="2">
        <v>70080</v>
      </c>
      <c r="F391" s="4" t="s">
        <v>15</v>
      </c>
      <c r="G391" s="11" t="s">
        <v>628</v>
      </c>
      <c r="H391" s="11" t="s">
        <v>35</v>
      </c>
      <c r="I391" s="2">
        <v>27049</v>
      </c>
      <c r="J391" s="2">
        <v>189346</v>
      </c>
    </row>
    <row r="392" spans="1:10" x14ac:dyDescent="0.3">
      <c r="A392" s="2" t="s">
        <v>710</v>
      </c>
      <c r="B392" s="2" t="s">
        <v>711</v>
      </c>
      <c r="C392" s="2" t="s">
        <v>32</v>
      </c>
      <c r="D392" s="2" t="s">
        <v>19</v>
      </c>
      <c r="E392" s="2">
        <v>125000</v>
      </c>
      <c r="F392" s="4" t="s">
        <v>20</v>
      </c>
      <c r="G392" s="11" t="s">
        <v>628</v>
      </c>
      <c r="H392" s="11" t="s">
        <v>35</v>
      </c>
      <c r="I392" s="2">
        <v>9580</v>
      </c>
      <c r="J392" s="2">
        <v>383200</v>
      </c>
    </row>
    <row r="393" spans="1:10" x14ac:dyDescent="0.3">
      <c r="A393" s="2" t="s">
        <v>712</v>
      </c>
      <c r="B393" s="2" t="s">
        <v>347</v>
      </c>
      <c r="C393" s="2" t="s">
        <v>32</v>
      </c>
      <c r="D393" s="2" t="s">
        <v>14</v>
      </c>
      <c r="E393" s="2">
        <v>39000</v>
      </c>
      <c r="F393" s="4" t="s">
        <v>22</v>
      </c>
      <c r="G393" s="11" t="s">
        <v>628</v>
      </c>
      <c r="H393" s="11" t="s">
        <v>35</v>
      </c>
      <c r="I393" s="2">
        <v>2088</v>
      </c>
      <c r="J393" s="2">
        <v>22971</v>
      </c>
    </row>
    <row r="394" spans="1:10" x14ac:dyDescent="0.3">
      <c r="A394" s="2" t="s">
        <v>713</v>
      </c>
      <c r="B394" s="2" t="s">
        <v>12</v>
      </c>
      <c r="C394" s="2" t="s">
        <v>13</v>
      </c>
      <c r="D394" s="2" t="s">
        <v>14</v>
      </c>
      <c r="E394" s="2">
        <v>12900</v>
      </c>
      <c r="F394" s="4" t="s">
        <v>15</v>
      </c>
      <c r="G394" s="11" t="s">
        <v>432</v>
      </c>
      <c r="H394" s="11" t="s">
        <v>29</v>
      </c>
      <c r="I394" s="2">
        <v>1275</v>
      </c>
      <c r="J394" s="2">
        <v>6375</v>
      </c>
    </row>
    <row r="395" spans="1:10" x14ac:dyDescent="0.3">
      <c r="E395">
        <f t="shared" ref="E395" si="0">SUM(E1:E394)</f>
        <v>38335069.949000001</v>
      </c>
      <c r="F395"/>
      <c r="I395">
        <f>SUM(I1:I394)</f>
        <v>3202883</v>
      </c>
      <c r="J395">
        <f>SUM(J1:J394)</f>
        <v>32568773</v>
      </c>
    </row>
  </sheetData>
  <mergeCells count="1">
    <mergeCell ref="N10:Q10"/>
  </mergeCells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D1E4E7-BBB5-4960-B677-CBF4BE999D49}">
  <dimension ref="A2:I297"/>
  <sheetViews>
    <sheetView workbookViewId="0">
      <selection activeCell="E14" sqref="E14"/>
    </sheetView>
  </sheetViews>
  <sheetFormatPr defaultRowHeight="14.4" x14ac:dyDescent="0.3"/>
  <cols>
    <col min="1" max="1" width="15.6640625" bestFit="1" customWidth="1"/>
    <col min="2" max="2" width="22.44140625" bestFit="1" customWidth="1"/>
    <col min="5" max="5" width="14.77734375" bestFit="1" customWidth="1"/>
    <col min="6" max="6" width="17.21875" bestFit="1" customWidth="1"/>
    <col min="7" max="7" width="15.5546875" bestFit="1" customWidth="1"/>
    <col min="8" max="8" width="33.21875" bestFit="1" customWidth="1"/>
    <col min="9" max="9" width="16.5546875" bestFit="1" customWidth="1"/>
  </cols>
  <sheetData>
    <row r="2" spans="1:9" x14ac:dyDescent="0.3">
      <c r="E2" s="14" t="s">
        <v>3</v>
      </c>
      <c r="F2" t="s">
        <v>19</v>
      </c>
    </row>
    <row r="3" spans="1:9" x14ac:dyDescent="0.3">
      <c r="A3" s="14" t="s">
        <v>721</v>
      </c>
      <c r="B3" t="s">
        <v>720</v>
      </c>
    </row>
    <row r="4" spans="1:9" x14ac:dyDescent="0.3">
      <c r="A4" s="15" t="s">
        <v>697</v>
      </c>
      <c r="B4">
        <v>22000</v>
      </c>
      <c r="E4" s="14" t="s">
        <v>721</v>
      </c>
      <c r="F4" t="s">
        <v>726</v>
      </c>
    </row>
    <row r="5" spans="1:9" x14ac:dyDescent="0.3">
      <c r="A5" s="15" t="s">
        <v>19</v>
      </c>
      <c r="B5">
        <v>15215456.32</v>
      </c>
      <c r="E5" s="15" t="s">
        <v>20</v>
      </c>
      <c r="F5">
        <v>28</v>
      </c>
    </row>
    <row r="6" spans="1:9" x14ac:dyDescent="0.3">
      <c r="A6" s="15" t="s">
        <v>33</v>
      </c>
      <c r="B6">
        <v>3509473.5079999999</v>
      </c>
      <c r="E6" s="15" t="s">
        <v>22</v>
      </c>
      <c r="F6">
        <v>20</v>
      </c>
    </row>
    <row r="7" spans="1:9" x14ac:dyDescent="0.3">
      <c r="A7" s="15" t="s">
        <v>14</v>
      </c>
      <c r="B7">
        <v>19588140.120999999</v>
      </c>
      <c r="E7" s="15" t="s">
        <v>15</v>
      </c>
      <c r="F7">
        <v>17</v>
      </c>
    </row>
    <row r="8" spans="1:9" x14ac:dyDescent="0.3">
      <c r="A8" s="15" t="s">
        <v>722</v>
      </c>
      <c r="B8">
        <v>38335069.949000001</v>
      </c>
      <c r="E8" s="15" t="s">
        <v>722</v>
      </c>
      <c r="F8">
        <v>65</v>
      </c>
    </row>
    <row r="9" spans="1:9" x14ac:dyDescent="0.3">
      <c r="H9" s="14" t="s">
        <v>6</v>
      </c>
      <c r="I9" t="s">
        <v>723</v>
      </c>
    </row>
    <row r="11" spans="1:9" x14ac:dyDescent="0.3">
      <c r="H11" s="14" t="s">
        <v>721</v>
      </c>
      <c r="I11" t="s">
        <v>725</v>
      </c>
    </row>
    <row r="12" spans="1:9" x14ac:dyDescent="0.3">
      <c r="A12" s="14" t="s">
        <v>6</v>
      </c>
      <c r="B12" t="s">
        <v>15</v>
      </c>
      <c r="H12" s="15" t="s">
        <v>127</v>
      </c>
      <c r="I12">
        <v>203282</v>
      </c>
    </row>
    <row r="13" spans="1:9" x14ac:dyDescent="0.3">
      <c r="H13" s="15" t="s">
        <v>425</v>
      </c>
      <c r="I13">
        <v>1025</v>
      </c>
    </row>
    <row r="14" spans="1:9" x14ac:dyDescent="0.3">
      <c r="A14" s="14" t="s">
        <v>721</v>
      </c>
      <c r="B14" t="s">
        <v>727</v>
      </c>
      <c r="H14" s="15" t="s">
        <v>594</v>
      </c>
      <c r="I14">
        <v>272053</v>
      </c>
    </row>
    <row r="15" spans="1:9" x14ac:dyDescent="0.3">
      <c r="A15" s="15" t="s">
        <v>16</v>
      </c>
      <c r="B15">
        <v>1</v>
      </c>
      <c r="H15" s="15" t="s">
        <v>226</v>
      </c>
      <c r="I15">
        <v>23872</v>
      </c>
    </row>
    <row r="16" spans="1:9" x14ac:dyDescent="0.3">
      <c r="A16" s="15" t="s">
        <v>25</v>
      </c>
      <c r="B16">
        <v>3</v>
      </c>
      <c r="H16" s="15" t="s">
        <v>635</v>
      </c>
      <c r="I16">
        <v>7330</v>
      </c>
    </row>
    <row r="17" spans="1:9" x14ac:dyDescent="0.3">
      <c r="A17" s="15" t="s">
        <v>34</v>
      </c>
      <c r="B17">
        <v>9</v>
      </c>
      <c r="H17" s="15" t="s">
        <v>334</v>
      </c>
      <c r="I17">
        <v>24721</v>
      </c>
    </row>
    <row r="18" spans="1:9" x14ac:dyDescent="0.3">
      <c r="A18" s="15" t="s">
        <v>106</v>
      </c>
      <c r="B18">
        <v>6</v>
      </c>
      <c r="H18" s="15" t="s">
        <v>446</v>
      </c>
      <c r="I18">
        <v>41018</v>
      </c>
    </row>
    <row r="19" spans="1:9" x14ac:dyDescent="0.3">
      <c r="A19" s="15" t="s">
        <v>185</v>
      </c>
      <c r="B19">
        <v>2</v>
      </c>
      <c r="H19" s="15" t="s">
        <v>612</v>
      </c>
      <c r="I19">
        <v>21482</v>
      </c>
    </row>
    <row r="20" spans="1:9" x14ac:dyDescent="0.3">
      <c r="A20" s="15" t="s">
        <v>213</v>
      </c>
      <c r="B20">
        <v>7</v>
      </c>
      <c r="H20" s="15" t="s">
        <v>487</v>
      </c>
      <c r="I20">
        <v>24433</v>
      </c>
    </row>
    <row r="21" spans="1:9" x14ac:dyDescent="0.3">
      <c r="A21" s="15" t="s">
        <v>289</v>
      </c>
      <c r="B21">
        <v>38</v>
      </c>
      <c r="H21" s="15" t="s">
        <v>111</v>
      </c>
      <c r="I21">
        <v>31172</v>
      </c>
    </row>
    <row r="22" spans="1:9" x14ac:dyDescent="0.3">
      <c r="A22" s="15" t="s">
        <v>628</v>
      </c>
      <c r="B22">
        <v>5</v>
      </c>
      <c r="H22" s="15" t="s">
        <v>280</v>
      </c>
      <c r="I22">
        <v>10003</v>
      </c>
    </row>
    <row r="23" spans="1:9" x14ac:dyDescent="0.3">
      <c r="A23" s="15" t="s">
        <v>28</v>
      </c>
      <c r="B23">
        <v>11</v>
      </c>
      <c r="H23" s="15" t="s">
        <v>573</v>
      </c>
      <c r="I23">
        <v>43449</v>
      </c>
    </row>
    <row r="24" spans="1:9" x14ac:dyDescent="0.3">
      <c r="A24" s="15" t="s">
        <v>432</v>
      </c>
      <c r="B24">
        <v>9</v>
      </c>
      <c r="H24" s="15" t="s">
        <v>137</v>
      </c>
      <c r="I24">
        <v>355619</v>
      </c>
    </row>
    <row r="25" spans="1:9" x14ac:dyDescent="0.3">
      <c r="A25" s="15" t="s">
        <v>722</v>
      </c>
      <c r="B25">
        <v>91</v>
      </c>
      <c r="H25" s="15" t="s">
        <v>677</v>
      </c>
      <c r="I25">
        <v>45641</v>
      </c>
    </row>
    <row r="26" spans="1:9" x14ac:dyDescent="0.3">
      <c r="H26" s="15" t="s">
        <v>255</v>
      </c>
      <c r="I26">
        <v>64932</v>
      </c>
    </row>
    <row r="27" spans="1:9" x14ac:dyDescent="0.3">
      <c r="H27" s="15" t="s">
        <v>540</v>
      </c>
      <c r="I27">
        <v>12708</v>
      </c>
    </row>
    <row r="28" spans="1:9" x14ac:dyDescent="0.3">
      <c r="H28" s="15" t="s">
        <v>247</v>
      </c>
      <c r="I28">
        <v>21410</v>
      </c>
    </row>
    <row r="29" spans="1:9" x14ac:dyDescent="0.3">
      <c r="H29" s="15" t="s">
        <v>366</v>
      </c>
      <c r="I29">
        <v>16834</v>
      </c>
    </row>
    <row r="30" spans="1:9" x14ac:dyDescent="0.3">
      <c r="H30" s="15" t="s">
        <v>171</v>
      </c>
      <c r="I30">
        <v>172937</v>
      </c>
    </row>
    <row r="31" spans="1:9" x14ac:dyDescent="0.3">
      <c r="H31" s="15" t="s">
        <v>457</v>
      </c>
      <c r="I31">
        <v>39346</v>
      </c>
    </row>
    <row r="32" spans="1:9" x14ac:dyDescent="0.3">
      <c r="H32" s="15" t="s">
        <v>467</v>
      </c>
      <c r="I32">
        <v>167438</v>
      </c>
    </row>
    <row r="33" spans="8:9" x14ac:dyDescent="0.3">
      <c r="H33" s="15" t="s">
        <v>315</v>
      </c>
      <c r="I33">
        <v>30011</v>
      </c>
    </row>
    <row r="34" spans="8:9" x14ac:dyDescent="0.3">
      <c r="H34" s="15" t="s">
        <v>462</v>
      </c>
      <c r="I34">
        <v>31757</v>
      </c>
    </row>
    <row r="35" spans="8:9" x14ac:dyDescent="0.3">
      <c r="H35" s="15" t="s">
        <v>378</v>
      </c>
      <c r="I35">
        <v>15697</v>
      </c>
    </row>
    <row r="36" spans="8:9" x14ac:dyDescent="0.3">
      <c r="H36" s="15" t="s">
        <v>702</v>
      </c>
      <c r="I36">
        <v>19641</v>
      </c>
    </row>
    <row r="37" spans="8:9" x14ac:dyDescent="0.3">
      <c r="H37" s="15" t="s">
        <v>689</v>
      </c>
      <c r="I37">
        <v>178933</v>
      </c>
    </row>
    <row r="38" spans="8:9" x14ac:dyDescent="0.3">
      <c r="H38" s="15" t="s">
        <v>453</v>
      </c>
      <c r="I38">
        <v>24547</v>
      </c>
    </row>
    <row r="39" spans="8:9" x14ac:dyDescent="0.3">
      <c r="H39" s="15" t="s">
        <v>159</v>
      </c>
      <c r="I39">
        <v>23284</v>
      </c>
    </row>
    <row r="40" spans="8:9" x14ac:dyDescent="0.3">
      <c r="H40" s="15" t="s">
        <v>269</v>
      </c>
      <c r="I40">
        <v>21474</v>
      </c>
    </row>
    <row r="41" spans="8:9" x14ac:dyDescent="0.3">
      <c r="H41" s="15" t="s">
        <v>674</v>
      </c>
      <c r="I41">
        <v>51972</v>
      </c>
    </row>
    <row r="42" spans="8:9" x14ac:dyDescent="0.3">
      <c r="H42" s="15" t="s">
        <v>282</v>
      </c>
      <c r="I42">
        <v>23784</v>
      </c>
    </row>
    <row r="43" spans="8:9" x14ac:dyDescent="0.3">
      <c r="H43" s="15" t="s">
        <v>437</v>
      </c>
      <c r="I43">
        <v>35653</v>
      </c>
    </row>
    <row r="44" spans="8:9" x14ac:dyDescent="0.3">
      <c r="H44" s="15" t="s">
        <v>470</v>
      </c>
      <c r="I44">
        <v>294858</v>
      </c>
    </row>
    <row r="45" spans="8:9" x14ac:dyDescent="0.3">
      <c r="H45" s="15" t="s">
        <v>31</v>
      </c>
      <c r="I45">
        <v>31779</v>
      </c>
    </row>
    <row r="46" spans="8:9" x14ac:dyDescent="0.3">
      <c r="H46" s="15" t="s">
        <v>113</v>
      </c>
      <c r="I46">
        <v>229656</v>
      </c>
    </row>
    <row r="47" spans="8:9" x14ac:dyDescent="0.3">
      <c r="H47" s="15" t="s">
        <v>483</v>
      </c>
      <c r="I47">
        <v>95236</v>
      </c>
    </row>
    <row r="48" spans="8:9" x14ac:dyDescent="0.3">
      <c r="H48" s="15" t="s">
        <v>622</v>
      </c>
      <c r="I48">
        <v>93602</v>
      </c>
    </row>
    <row r="49" spans="8:9" x14ac:dyDescent="0.3">
      <c r="H49" s="15" t="s">
        <v>412</v>
      </c>
      <c r="I49">
        <v>44276</v>
      </c>
    </row>
    <row r="50" spans="8:9" x14ac:dyDescent="0.3">
      <c r="H50" s="15" t="s">
        <v>319</v>
      </c>
      <c r="I50">
        <v>9273</v>
      </c>
    </row>
    <row r="51" spans="8:9" x14ac:dyDescent="0.3">
      <c r="H51" s="15" t="s">
        <v>266</v>
      </c>
      <c r="I51">
        <v>3757</v>
      </c>
    </row>
    <row r="52" spans="8:9" x14ac:dyDescent="0.3">
      <c r="H52" s="15" t="s">
        <v>249</v>
      </c>
      <c r="I52">
        <v>3914</v>
      </c>
    </row>
    <row r="53" spans="8:9" x14ac:dyDescent="0.3">
      <c r="H53" s="15" t="s">
        <v>76</v>
      </c>
      <c r="I53">
        <v>222346</v>
      </c>
    </row>
    <row r="54" spans="8:9" x14ac:dyDescent="0.3">
      <c r="H54" s="15" t="s">
        <v>234</v>
      </c>
      <c r="I54">
        <v>8634</v>
      </c>
    </row>
    <row r="55" spans="8:9" x14ac:dyDescent="0.3">
      <c r="H55" s="15" t="s">
        <v>341</v>
      </c>
      <c r="I55">
        <v>20052</v>
      </c>
    </row>
    <row r="56" spans="8:9" x14ac:dyDescent="0.3">
      <c r="H56" s="15" t="s">
        <v>131</v>
      </c>
      <c r="I56">
        <v>29277</v>
      </c>
    </row>
    <row r="57" spans="8:9" x14ac:dyDescent="0.3">
      <c r="H57" s="15" t="s">
        <v>521</v>
      </c>
      <c r="I57">
        <v>44536</v>
      </c>
    </row>
    <row r="58" spans="8:9" x14ac:dyDescent="0.3">
      <c r="H58" s="15" t="s">
        <v>308</v>
      </c>
      <c r="I58">
        <v>59604</v>
      </c>
    </row>
    <row r="59" spans="8:9" x14ac:dyDescent="0.3">
      <c r="H59" s="15" t="s">
        <v>555</v>
      </c>
      <c r="I59">
        <v>26721</v>
      </c>
    </row>
    <row r="60" spans="8:9" x14ac:dyDescent="0.3">
      <c r="H60" s="15" t="s">
        <v>652</v>
      </c>
      <c r="I60">
        <v>6954</v>
      </c>
    </row>
    <row r="61" spans="8:9" x14ac:dyDescent="0.3">
      <c r="H61" s="15" t="s">
        <v>617</v>
      </c>
      <c r="I61">
        <v>113227</v>
      </c>
    </row>
    <row r="62" spans="8:9" x14ac:dyDescent="0.3">
      <c r="H62" s="15" t="s">
        <v>133</v>
      </c>
      <c r="I62">
        <v>19340</v>
      </c>
    </row>
    <row r="63" spans="8:9" x14ac:dyDescent="0.3">
      <c r="H63" s="15" t="s">
        <v>364</v>
      </c>
      <c r="I63">
        <v>40373</v>
      </c>
    </row>
    <row r="64" spans="8:9" x14ac:dyDescent="0.3">
      <c r="H64" s="15" t="s">
        <v>516</v>
      </c>
      <c r="I64">
        <v>13286</v>
      </c>
    </row>
    <row r="65" spans="8:9" x14ac:dyDescent="0.3">
      <c r="H65" s="15" t="s">
        <v>615</v>
      </c>
      <c r="I65">
        <v>34785</v>
      </c>
    </row>
    <row r="66" spans="8:9" x14ac:dyDescent="0.3">
      <c r="H66" s="15" t="s">
        <v>317</v>
      </c>
      <c r="I66">
        <v>43959</v>
      </c>
    </row>
    <row r="67" spans="8:9" x14ac:dyDescent="0.3">
      <c r="H67" s="15" t="s">
        <v>648</v>
      </c>
      <c r="I67">
        <v>27823</v>
      </c>
    </row>
    <row r="68" spans="8:9" x14ac:dyDescent="0.3">
      <c r="H68" s="15" t="s">
        <v>391</v>
      </c>
      <c r="I68">
        <v>22766</v>
      </c>
    </row>
    <row r="69" spans="8:9" x14ac:dyDescent="0.3">
      <c r="H69" s="15" t="s">
        <v>444</v>
      </c>
      <c r="I69">
        <v>12683</v>
      </c>
    </row>
    <row r="70" spans="8:9" x14ac:dyDescent="0.3">
      <c r="H70" s="15" t="s">
        <v>587</v>
      </c>
      <c r="I70">
        <v>11424</v>
      </c>
    </row>
    <row r="71" spans="8:9" x14ac:dyDescent="0.3">
      <c r="H71" s="15" t="s">
        <v>125</v>
      </c>
      <c r="I71">
        <v>49537</v>
      </c>
    </row>
    <row r="72" spans="8:9" x14ac:dyDescent="0.3">
      <c r="H72" s="15" t="s">
        <v>465</v>
      </c>
      <c r="I72">
        <v>45699</v>
      </c>
    </row>
    <row r="73" spans="8:9" x14ac:dyDescent="0.3">
      <c r="H73" s="15" t="s">
        <v>550</v>
      </c>
      <c r="I73">
        <v>9765</v>
      </c>
    </row>
    <row r="74" spans="8:9" x14ac:dyDescent="0.3">
      <c r="H74" s="15" t="s">
        <v>63</v>
      </c>
      <c r="I74">
        <v>36059</v>
      </c>
    </row>
    <row r="75" spans="8:9" x14ac:dyDescent="0.3">
      <c r="H75" s="15" t="s">
        <v>592</v>
      </c>
      <c r="I75">
        <v>17181</v>
      </c>
    </row>
    <row r="76" spans="8:9" x14ac:dyDescent="0.3">
      <c r="H76" s="15" t="s">
        <v>65</v>
      </c>
      <c r="I76">
        <v>382595</v>
      </c>
    </row>
    <row r="77" spans="8:9" x14ac:dyDescent="0.3">
      <c r="H77" s="15" t="s">
        <v>610</v>
      </c>
      <c r="I77">
        <v>21130</v>
      </c>
    </row>
    <row r="78" spans="8:9" x14ac:dyDescent="0.3">
      <c r="H78" s="15" t="s">
        <v>362</v>
      </c>
      <c r="I78">
        <v>101756</v>
      </c>
    </row>
    <row r="79" spans="8:9" x14ac:dyDescent="0.3">
      <c r="H79" s="15" t="s">
        <v>398</v>
      </c>
      <c r="I79">
        <v>7911</v>
      </c>
    </row>
    <row r="80" spans="8:9" x14ac:dyDescent="0.3">
      <c r="H80" s="15" t="s">
        <v>566</v>
      </c>
      <c r="I80">
        <v>8147</v>
      </c>
    </row>
    <row r="81" spans="8:9" x14ac:dyDescent="0.3">
      <c r="H81" s="15" t="s">
        <v>536</v>
      </c>
      <c r="I81">
        <v>835</v>
      </c>
    </row>
    <row r="82" spans="8:9" x14ac:dyDescent="0.3">
      <c r="H82" s="15" t="s">
        <v>135</v>
      </c>
      <c r="I82">
        <v>448449</v>
      </c>
    </row>
    <row r="83" spans="8:9" x14ac:dyDescent="0.3">
      <c r="H83" s="15" t="s">
        <v>78</v>
      </c>
      <c r="I83">
        <v>40001</v>
      </c>
    </row>
    <row r="84" spans="8:9" x14ac:dyDescent="0.3">
      <c r="H84" s="15" t="s">
        <v>656</v>
      </c>
      <c r="I84">
        <v>5193</v>
      </c>
    </row>
    <row r="85" spans="8:9" x14ac:dyDescent="0.3">
      <c r="H85" s="15" t="s">
        <v>644</v>
      </c>
      <c r="I85">
        <v>7332</v>
      </c>
    </row>
    <row r="86" spans="8:9" x14ac:dyDescent="0.3">
      <c r="H86" s="15" t="s">
        <v>326</v>
      </c>
      <c r="I86">
        <v>12120</v>
      </c>
    </row>
    <row r="87" spans="8:9" x14ac:dyDescent="0.3">
      <c r="H87" s="15" t="s">
        <v>200</v>
      </c>
      <c r="I87">
        <v>28167</v>
      </c>
    </row>
    <row r="88" spans="8:9" x14ac:dyDescent="0.3">
      <c r="H88" s="15" t="s">
        <v>99</v>
      </c>
      <c r="I88">
        <v>251895</v>
      </c>
    </row>
    <row r="89" spans="8:9" x14ac:dyDescent="0.3">
      <c r="H89" s="15" t="s">
        <v>312</v>
      </c>
      <c r="I89">
        <v>199941</v>
      </c>
    </row>
    <row r="90" spans="8:9" x14ac:dyDescent="0.3">
      <c r="H90" s="15" t="s">
        <v>481</v>
      </c>
      <c r="I90">
        <v>79658</v>
      </c>
    </row>
    <row r="91" spans="8:9" x14ac:dyDescent="0.3">
      <c r="H91" s="15" t="s">
        <v>45</v>
      </c>
      <c r="I91">
        <v>96087</v>
      </c>
    </row>
    <row r="92" spans="8:9" x14ac:dyDescent="0.3">
      <c r="H92" s="15" t="s">
        <v>84</v>
      </c>
      <c r="I92">
        <v>662883</v>
      </c>
    </row>
    <row r="93" spans="8:9" x14ac:dyDescent="0.3">
      <c r="H93" s="15" t="s">
        <v>561</v>
      </c>
      <c r="I93">
        <v>13899</v>
      </c>
    </row>
    <row r="94" spans="8:9" x14ac:dyDescent="0.3">
      <c r="H94" s="15" t="s">
        <v>532</v>
      </c>
      <c r="I94">
        <v>67597</v>
      </c>
    </row>
    <row r="95" spans="8:9" x14ac:dyDescent="0.3">
      <c r="H95" s="15" t="s">
        <v>71</v>
      </c>
      <c r="I95">
        <v>111366</v>
      </c>
    </row>
    <row r="96" spans="8:9" x14ac:dyDescent="0.3">
      <c r="H96" s="15" t="s">
        <v>204</v>
      </c>
      <c r="I96">
        <v>25241</v>
      </c>
    </row>
    <row r="97" spans="8:9" x14ac:dyDescent="0.3">
      <c r="H97" s="15" t="s">
        <v>169</v>
      </c>
      <c r="I97">
        <v>6538</v>
      </c>
    </row>
    <row r="98" spans="8:9" x14ac:dyDescent="0.3">
      <c r="H98" s="15" t="s">
        <v>238</v>
      </c>
      <c r="I98">
        <v>231599</v>
      </c>
    </row>
    <row r="99" spans="8:9" x14ac:dyDescent="0.3">
      <c r="H99" s="15" t="s">
        <v>380</v>
      </c>
      <c r="I99">
        <v>42576</v>
      </c>
    </row>
    <row r="100" spans="8:9" x14ac:dyDescent="0.3">
      <c r="H100" s="15" t="s">
        <v>39</v>
      </c>
      <c r="I100">
        <v>160490</v>
      </c>
    </row>
    <row r="101" spans="8:9" x14ac:dyDescent="0.3">
      <c r="H101" s="15" t="s">
        <v>633</v>
      </c>
      <c r="I101">
        <v>134982</v>
      </c>
    </row>
    <row r="102" spans="8:9" x14ac:dyDescent="0.3">
      <c r="H102" s="15" t="s">
        <v>208</v>
      </c>
      <c r="I102">
        <v>101603</v>
      </c>
    </row>
    <row r="103" spans="8:9" x14ac:dyDescent="0.3">
      <c r="H103" s="15" t="s">
        <v>49</v>
      </c>
      <c r="I103">
        <v>5714</v>
      </c>
    </row>
    <row r="104" spans="8:9" x14ac:dyDescent="0.3">
      <c r="H104" s="15" t="s">
        <v>332</v>
      </c>
      <c r="I104">
        <v>22759</v>
      </c>
    </row>
    <row r="105" spans="8:9" x14ac:dyDescent="0.3">
      <c r="H105" s="15" t="s">
        <v>299</v>
      </c>
      <c r="I105">
        <v>3643</v>
      </c>
    </row>
    <row r="106" spans="8:9" x14ac:dyDescent="0.3">
      <c r="H106" s="15" t="s">
        <v>215</v>
      </c>
      <c r="I106">
        <v>38081</v>
      </c>
    </row>
    <row r="107" spans="8:9" x14ac:dyDescent="0.3">
      <c r="H107" s="15" t="s">
        <v>493</v>
      </c>
      <c r="I107">
        <v>6182</v>
      </c>
    </row>
    <row r="108" spans="8:9" x14ac:dyDescent="0.3">
      <c r="H108" s="15" t="s">
        <v>706</v>
      </c>
      <c r="I108">
        <v>10505</v>
      </c>
    </row>
    <row r="109" spans="8:9" x14ac:dyDescent="0.3">
      <c r="H109" s="15" t="s">
        <v>252</v>
      </c>
      <c r="I109">
        <v>98484</v>
      </c>
    </row>
    <row r="110" spans="8:9" x14ac:dyDescent="0.3">
      <c r="H110" s="15" t="s">
        <v>347</v>
      </c>
      <c r="I110">
        <v>34932</v>
      </c>
    </row>
    <row r="111" spans="8:9" x14ac:dyDescent="0.3">
      <c r="H111" s="15" t="s">
        <v>173</v>
      </c>
      <c r="I111">
        <v>74374</v>
      </c>
    </row>
    <row r="112" spans="8:9" x14ac:dyDescent="0.3">
      <c r="H112" s="15" t="s">
        <v>277</v>
      </c>
      <c r="I112">
        <v>4261</v>
      </c>
    </row>
    <row r="113" spans="8:9" x14ac:dyDescent="0.3">
      <c r="H113" s="15" t="s">
        <v>389</v>
      </c>
      <c r="I113">
        <v>54338</v>
      </c>
    </row>
    <row r="114" spans="8:9" x14ac:dyDescent="0.3">
      <c r="H114" s="15" t="s">
        <v>670</v>
      </c>
      <c r="I114">
        <v>1855</v>
      </c>
    </row>
    <row r="115" spans="8:9" x14ac:dyDescent="0.3">
      <c r="H115" s="15" t="s">
        <v>306</v>
      </c>
      <c r="I115">
        <v>33661</v>
      </c>
    </row>
    <row r="116" spans="8:9" x14ac:dyDescent="0.3">
      <c r="H116" s="15" t="s">
        <v>202</v>
      </c>
      <c r="I116">
        <v>30802</v>
      </c>
    </row>
    <row r="117" spans="8:9" x14ac:dyDescent="0.3">
      <c r="H117" s="15" t="s">
        <v>43</v>
      </c>
      <c r="I117">
        <v>5927</v>
      </c>
    </row>
    <row r="118" spans="8:9" x14ac:dyDescent="0.3">
      <c r="H118" s="15" t="s">
        <v>518</v>
      </c>
      <c r="I118">
        <v>32575</v>
      </c>
    </row>
    <row r="119" spans="8:9" x14ac:dyDescent="0.3">
      <c r="H119" s="15" t="s">
        <v>384</v>
      </c>
      <c r="I119">
        <v>13643</v>
      </c>
    </row>
    <row r="120" spans="8:9" x14ac:dyDescent="0.3">
      <c r="H120" s="15" t="s">
        <v>197</v>
      </c>
      <c r="I120">
        <v>32792</v>
      </c>
    </row>
    <row r="121" spans="8:9" x14ac:dyDescent="0.3">
      <c r="H121" s="15" t="s">
        <v>455</v>
      </c>
      <c r="I121">
        <v>19553</v>
      </c>
    </row>
    <row r="122" spans="8:9" x14ac:dyDescent="0.3">
      <c r="H122" s="15" t="s">
        <v>534</v>
      </c>
      <c r="I122">
        <v>15577</v>
      </c>
    </row>
    <row r="123" spans="8:9" x14ac:dyDescent="0.3">
      <c r="H123" s="15" t="s">
        <v>92</v>
      </c>
      <c r="I123">
        <v>231826</v>
      </c>
    </row>
    <row r="124" spans="8:9" x14ac:dyDescent="0.3">
      <c r="H124" s="15" t="s">
        <v>637</v>
      </c>
      <c r="I124">
        <v>51298</v>
      </c>
    </row>
    <row r="125" spans="8:9" x14ac:dyDescent="0.3">
      <c r="H125" s="15" t="s">
        <v>373</v>
      </c>
      <c r="I125">
        <v>3305</v>
      </c>
    </row>
    <row r="126" spans="8:9" x14ac:dyDescent="0.3">
      <c r="H126" s="15" t="s">
        <v>284</v>
      </c>
      <c r="I126">
        <v>13881</v>
      </c>
    </row>
    <row r="127" spans="8:9" x14ac:dyDescent="0.3">
      <c r="H127" s="15" t="s">
        <v>693</v>
      </c>
      <c r="I127">
        <v>43946</v>
      </c>
    </row>
    <row r="128" spans="8:9" x14ac:dyDescent="0.3">
      <c r="H128" s="15" t="s">
        <v>639</v>
      </c>
      <c r="I128">
        <v>11784</v>
      </c>
    </row>
    <row r="129" spans="8:9" x14ac:dyDescent="0.3">
      <c r="H129" s="15" t="s">
        <v>429</v>
      </c>
      <c r="I129">
        <v>104255</v>
      </c>
    </row>
    <row r="130" spans="8:9" x14ac:dyDescent="0.3">
      <c r="H130" s="15" t="s">
        <v>441</v>
      </c>
      <c r="I130">
        <v>47617</v>
      </c>
    </row>
    <row r="131" spans="8:9" x14ac:dyDescent="0.3">
      <c r="H131" s="15" t="s">
        <v>189</v>
      </c>
      <c r="I131">
        <v>5134</v>
      </c>
    </row>
    <row r="132" spans="8:9" x14ac:dyDescent="0.3">
      <c r="H132" s="15" t="s">
        <v>288</v>
      </c>
      <c r="I132">
        <v>13408</v>
      </c>
    </row>
    <row r="133" spans="8:9" x14ac:dyDescent="0.3">
      <c r="H133" s="15" t="s">
        <v>650</v>
      </c>
      <c r="I133">
        <v>3359</v>
      </c>
    </row>
    <row r="134" spans="8:9" x14ac:dyDescent="0.3">
      <c r="H134" s="15" t="s">
        <v>450</v>
      </c>
      <c r="I134">
        <v>12077</v>
      </c>
    </row>
    <row r="135" spans="8:9" x14ac:dyDescent="0.3">
      <c r="H135" s="15" t="s">
        <v>679</v>
      </c>
      <c r="I135">
        <v>48062</v>
      </c>
    </row>
    <row r="136" spans="8:9" x14ac:dyDescent="0.3">
      <c r="H136" s="15" t="s">
        <v>41</v>
      </c>
      <c r="I136">
        <v>30491</v>
      </c>
    </row>
    <row r="137" spans="8:9" x14ac:dyDescent="0.3">
      <c r="H137" s="15" t="s">
        <v>490</v>
      </c>
      <c r="I137">
        <v>8126</v>
      </c>
    </row>
    <row r="138" spans="8:9" x14ac:dyDescent="0.3">
      <c r="H138" s="15" t="s">
        <v>101</v>
      </c>
      <c r="I138">
        <v>18082</v>
      </c>
    </row>
    <row r="139" spans="8:9" x14ac:dyDescent="0.3">
      <c r="H139" s="15" t="s">
        <v>575</v>
      </c>
      <c r="I139">
        <v>439090</v>
      </c>
    </row>
    <row r="140" spans="8:9" x14ac:dyDescent="0.3">
      <c r="H140" s="15" t="s">
        <v>495</v>
      </c>
      <c r="I140">
        <v>21569</v>
      </c>
    </row>
    <row r="141" spans="8:9" x14ac:dyDescent="0.3">
      <c r="H141" s="15" t="s">
        <v>631</v>
      </c>
      <c r="I141">
        <v>34338</v>
      </c>
    </row>
    <row r="142" spans="8:9" x14ac:dyDescent="0.3">
      <c r="H142" s="15" t="s">
        <v>501</v>
      </c>
      <c r="I142">
        <v>138650</v>
      </c>
    </row>
    <row r="143" spans="8:9" x14ac:dyDescent="0.3">
      <c r="H143" s="15" t="s">
        <v>271</v>
      </c>
      <c r="I143">
        <v>54330</v>
      </c>
    </row>
    <row r="144" spans="8:9" x14ac:dyDescent="0.3">
      <c r="H144" s="15" t="s">
        <v>156</v>
      </c>
      <c r="I144">
        <v>10215</v>
      </c>
    </row>
    <row r="145" spans="8:9" x14ac:dyDescent="0.3">
      <c r="H145" s="15" t="s">
        <v>195</v>
      </c>
      <c r="I145">
        <v>559430</v>
      </c>
    </row>
    <row r="146" spans="8:9" x14ac:dyDescent="0.3">
      <c r="H146" s="15" t="s">
        <v>262</v>
      </c>
      <c r="I146">
        <v>17147</v>
      </c>
    </row>
    <row r="147" spans="8:9" x14ac:dyDescent="0.3">
      <c r="H147" s="15" t="s">
        <v>47</v>
      </c>
      <c r="I147">
        <v>40264</v>
      </c>
    </row>
    <row r="148" spans="8:9" x14ac:dyDescent="0.3">
      <c r="H148" s="15" t="s">
        <v>243</v>
      </c>
      <c r="I148">
        <v>42366</v>
      </c>
    </row>
    <row r="149" spans="8:9" x14ac:dyDescent="0.3">
      <c r="H149" s="15" t="s">
        <v>150</v>
      </c>
      <c r="I149">
        <v>379401</v>
      </c>
    </row>
    <row r="150" spans="8:9" x14ac:dyDescent="0.3">
      <c r="H150" s="15" t="s">
        <v>691</v>
      </c>
      <c r="I150">
        <v>4856</v>
      </c>
    </row>
    <row r="151" spans="8:9" x14ac:dyDescent="0.3">
      <c r="H151" s="15" t="s">
        <v>89</v>
      </c>
      <c r="I151">
        <v>15673</v>
      </c>
    </row>
    <row r="152" spans="8:9" x14ac:dyDescent="0.3">
      <c r="H152" s="15" t="s">
        <v>434</v>
      </c>
      <c r="I152">
        <v>5925</v>
      </c>
    </row>
    <row r="153" spans="8:9" x14ac:dyDescent="0.3">
      <c r="H153" s="15" t="s">
        <v>408</v>
      </c>
      <c r="I153">
        <v>28389</v>
      </c>
    </row>
    <row r="154" spans="8:9" x14ac:dyDescent="0.3">
      <c r="H154" s="15" t="s">
        <v>264</v>
      </c>
      <c r="I154">
        <v>16361</v>
      </c>
    </row>
    <row r="155" spans="8:9" x14ac:dyDescent="0.3">
      <c r="H155" s="15" t="s">
        <v>222</v>
      </c>
      <c r="I155">
        <v>43330</v>
      </c>
    </row>
    <row r="156" spans="8:9" x14ac:dyDescent="0.3">
      <c r="H156" s="15" t="s">
        <v>542</v>
      </c>
      <c r="I156">
        <v>71674</v>
      </c>
    </row>
    <row r="157" spans="8:9" x14ac:dyDescent="0.3">
      <c r="H157" s="15" t="s">
        <v>310</v>
      </c>
      <c r="I157">
        <v>420337</v>
      </c>
    </row>
    <row r="158" spans="8:9" x14ac:dyDescent="0.3">
      <c r="H158" s="15" t="s">
        <v>87</v>
      </c>
      <c r="I158">
        <v>335106</v>
      </c>
    </row>
    <row r="159" spans="8:9" x14ac:dyDescent="0.3">
      <c r="H159" s="15" t="s">
        <v>525</v>
      </c>
      <c r="I159">
        <v>101847</v>
      </c>
    </row>
    <row r="160" spans="8:9" x14ac:dyDescent="0.3">
      <c r="H160" s="15" t="s">
        <v>94</v>
      </c>
      <c r="I160">
        <v>20021</v>
      </c>
    </row>
    <row r="161" spans="8:9" x14ac:dyDescent="0.3">
      <c r="H161" s="15" t="s">
        <v>642</v>
      </c>
      <c r="I161">
        <v>24805</v>
      </c>
    </row>
    <row r="162" spans="8:9" x14ac:dyDescent="0.3">
      <c r="H162" s="15" t="s">
        <v>73</v>
      </c>
      <c r="I162">
        <v>28747</v>
      </c>
    </row>
    <row r="163" spans="8:9" x14ac:dyDescent="0.3">
      <c r="H163" s="15" t="s">
        <v>293</v>
      </c>
      <c r="I163">
        <v>25439</v>
      </c>
    </row>
    <row r="164" spans="8:9" x14ac:dyDescent="0.3">
      <c r="H164" s="15" t="s">
        <v>167</v>
      </c>
      <c r="I164">
        <v>18632</v>
      </c>
    </row>
    <row r="165" spans="8:9" x14ac:dyDescent="0.3">
      <c r="H165" s="15" t="s">
        <v>105</v>
      </c>
      <c r="I165">
        <v>360610</v>
      </c>
    </row>
    <row r="166" spans="8:9" x14ac:dyDescent="0.3">
      <c r="H166" s="15" t="s">
        <v>82</v>
      </c>
      <c r="I166">
        <v>8189</v>
      </c>
    </row>
    <row r="167" spans="8:9" x14ac:dyDescent="0.3">
      <c r="H167" s="15" t="s">
        <v>60</v>
      </c>
      <c r="I167">
        <v>7013</v>
      </c>
    </row>
    <row r="168" spans="8:9" x14ac:dyDescent="0.3">
      <c r="H168" s="15" t="s">
        <v>624</v>
      </c>
      <c r="I168">
        <v>56188</v>
      </c>
    </row>
    <row r="169" spans="8:9" x14ac:dyDescent="0.3">
      <c r="H169" s="15" t="s">
        <v>152</v>
      </c>
      <c r="I169">
        <v>27336</v>
      </c>
    </row>
    <row r="170" spans="8:9" x14ac:dyDescent="0.3">
      <c r="H170" s="15" t="s">
        <v>477</v>
      </c>
      <c r="I170">
        <v>15883</v>
      </c>
    </row>
    <row r="171" spans="8:9" x14ac:dyDescent="0.3">
      <c r="H171" s="15" t="s">
        <v>129</v>
      </c>
      <c r="I171">
        <v>19731</v>
      </c>
    </row>
    <row r="172" spans="8:9" x14ac:dyDescent="0.3">
      <c r="H172" s="15" t="s">
        <v>530</v>
      </c>
      <c r="I172">
        <v>25441</v>
      </c>
    </row>
    <row r="173" spans="8:9" x14ac:dyDescent="0.3">
      <c r="H173" s="15" t="s">
        <v>260</v>
      </c>
      <c r="I173">
        <v>13288</v>
      </c>
    </row>
    <row r="174" spans="8:9" x14ac:dyDescent="0.3">
      <c r="H174" s="15" t="s">
        <v>324</v>
      </c>
      <c r="I174">
        <v>188896</v>
      </c>
    </row>
    <row r="175" spans="8:9" x14ac:dyDescent="0.3">
      <c r="H175" s="15" t="s">
        <v>699</v>
      </c>
      <c r="I175">
        <v>33801</v>
      </c>
    </row>
    <row r="176" spans="8:9" x14ac:dyDescent="0.3">
      <c r="H176" s="15" t="s">
        <v>224</v>
      </c>
      <c r="I176">
        <v>19860</v>
      </c>
    </row>
    <row r="177" spans="8:9" x14ac:dyDescent="0.3">
      <c r="H177" s="15" t="s">
        <v>396</v>
      </c>
      <c r="I177">
        <v>126928</v>
      </c>
    </row>
    <row r="178" spans="8:9" x14ac:dyDescent="0.3">
      <c r="H178" s="15" t="s">
        <v>140</v>
      </c>
      <c r="I178">
        <v>298017</v>
      </c>
    </row>
    <row r="179" spans="8:9" x14ac:dyDescent="0.3">
      <c r="H179" s="15" t="s">
        <v>220</v>
      </c>
      <c r="I179">
        <v>48329</v>
      </c>
    </row>
    <row r="180" spans="8:9" x14ac:dyDescent="0.3">
      <c r="H180" s="15" t="s">
        <v>12</v>
      </c>
      <c r="I180">
        <v>4418497</v>
      </c>
    </row>
    <row r="181" spans="8:9" x14ac:dyDescent="0.3">
      <c r="H181" s="15" t="s">
        <v>117</v>
      </c>
      <c r="I181">
        <v>487770</v>
      </c>
    </row>
    <row r="182" spans="8:9" x14ac:dyDescent="0.3">
      <c r="H182" s="15" t="s">
        <v>351</v>
      </c>
      <c r="I182">
        <v>149289</v>
      </c>
    </row>
    <row r="183" spans="8:9" x14ac:dyDescent="0.3">
      <c r="H183" s="15" t="s">
        <v>56</v>
      </c>
      <c r="I183">
        <v>174650</v>
      </c>
    </row>
    <row r="184" spans="8:9" x14ac:dyDescent="0.3">
      <c r="H184" s="15" t="s">
        <v>145</v>
      </c>
      <c r="I184">
        <v>39119</v>
      </c>
    </row>
    <row r="185" spans="8:9" x14ac:dyDescent="0.3">
      <c r="H185" s="15" t="s">
        <v>546</v>
      </c>
      <c r="I185">
        <v>52119</v>
      </c>
    </row>
    <row r="186" spans="8:9" x14ac:dyDescent="0.3">
      <c r="H186" s="15" t="s">
        <v>97</v>
      </c>
      <c r="I186">
        <v>14107</v>
      </c>
    </row>
    <row r="187" spans="8:9" x14ac:dyDescent="0.3">
      <c r="H187" s="15" t="s">
        <v>473</v>
      </c>
      <c r="I187">
        <v>3770</v>
      </c>
    </row>
    <row r="188" spans="8:9" x14ac:dyDescent="0.3">
      <c r="H188" s="15" t="s">
        <v>503</v>
      </c>
      <c r="I188">
        <v>13165</v>
      </c>
    </row>
    <row r="189" spans="8:9" x14ac:dyDescent="0.3">
      <c r="H189" s="15" t="s">
        <v>51</v>
      </c>
      <c r="I189">
        <v>43958</v>
      </c>
    </row>
    <row r="190" spans="8:9" x14ac:dyDescent="0.3">
      <c r="H190" s="15" t="s">
        <v>291</v>
      </c>
      <c r="I190">
        <v>17189</v>
      </c>
    </row>
    <row r="191" spans="8:9" x14ac:dyDescent="0.3">
      <c r="H191" s="15" t="s">
        <v>507</v>
      </c>
      <c r="I191">
        <v>28388</v>
      </c>
    </row>
    <row r="192" spans="8:9" x14ac:dyDescent="0.3">
      <c r="H192" s="15" t="s">
        <v>302</v>
      </c>
      <c r="I192">
        <v>34259</v>
      </c>
    </row>
    <row r="193" spans="8:9" x14ac:dyDescent="0.3">
      <c r="H193" s="15" t="s">
        <v>147</v>
      </c>
      <c r="I193">
        <v>12299</v>
      </c>
    </row>
    <row r="194" spans="8:9" x14ac:dyDescent="0.3">
      <c r="H194" s="15" t="s">
        <v>286</v>
      </c>
      <c r="I194">
        <v>1273</v>
      </c>
    </row>
    <row r="195" spans="8:9" x14ac:dyDescent="0.3">
      <c r="H195" s="15" t="s">
        <v>369</v>
      </c>
      <c r="I195">
        <v>266948</v>
      </c>
    </row>
    <row r="196" spans="8:9" x14ac:dyDescent="0.3">
      <c r="H196" s="15" t="s">
        <v>711</v>
      </c>
      <c r="I196">
        <v>383200</v>
      </c>
    </row>
    <row r="197" spans="8:9" x14ac:dyDescent="0.3">
      <c r="H197" s="15" t="s">
        <v>393</v>
      </c>
      <c r="I197">
        <v>415151</v>
      </c>
    </row>
    <row r="198" spans="8:9" x14ac:dyDescent="0.3">
      <c r="H198" s="15" t="s">
        <v>184</v>
      </c>
      <c r="I198">
        <v>17325</v>
      </c>
    </row>
    <row r="199" spans="8:9" x14ac:dyDescent="0.3">
      <c r="H199" s="15" t="s">
        <v>328</v>
      </c>
      <c r="I199">
        <v>42695</v>
      </c>
    </row>
    <row r="200" spans="8:9" x14ac:dyDescent="0.3">
      <c r="H200" s="15" t="s">
        <v>154</v>
      </c>
      <c r="I200">
        <v>14054</v>
      </c>
    </row>
    <row r="201" spans="8:9" x14ac:dyDescent="0.3">
      <c r="H201" s="15" t="s">
        <v>479</v>
      </c>
      <c r="I201">
        <v>7058</v>
      </c>
    </row>
    <row r="202" spans="8:9" x14ac:dyDescent="0.3">
      <c r="H202" s="15" t="s">
        <v>191</v>
      </c>
      <c r="I202">
        <v>354700</v>
      </c>
    </row>
    <row r="203" spans="8:9" x14ac:dyDescent="0.3">
      <c r="H203" s="15" t="s">
        <v>58</v>
      </c>
      <c r="I203">
        <v>69267</v>
      </c>
    </row>
    <row r="204" spans="8:9" x14ac:dyDescent="0.3">
      <c r="H204" s="15" t="s">
        <v>187</v>
      </c>
      <c r="I204">
        <v>14445</v>
      </c>
    </row>
    <row r="205" spans="8:9" x14ac:dyDescent="0.3">
      <c r="H205" s="15" t="s">
        <v>485</v>
      </c>
      <c r="I205">
        <v>50320</v>
      </c>
    </row>
    <row r="206" spans="8:9" x14ac:dyDescent="0.3">
      <c r="H206" s="15" t="s">
        <v>596</v>
      </c>
      <c r="I206">
        <v>39638</v>
      </c>
    </row>
    <row r="207" spans="8:9" x14ac:dyDescent="0.3">
      <c r="H207" s="15" t="s">
        <v>178</v>
      </c>
      <c r="I207">
        <v>94249</v>
      </c>
    </row>
    <row r="208" spans="8:9" x14ac:dyDescent="0.3">
      <c r="H208" s="15" t="s">
        <v>654</v>
      </c>
      <c r="I208">
        <v>17935</v>
      </c>
    </row>
    <row r="209" spans="8:9" x14ac:dyDescent="0.3">
      <c r="H209" s="15" t="s">
        <v>666</v>
      </c>
      <c r="I209">
        <v>25548</v>
      </c>
    </row>
    <row r="210" spans="8:9" x14ac:dyDescent="0.3">
      <c r="H210" s="15" t="s">
        <v>232</v>
      </c>
      <c r="I210">
        <v>43428</v>
      </c>
    </row>
    <row r="211" spans="8:9" x14ac:dyDescent="0.3">
      <c r="H211" s="15" t="s">
        <v>608</v>
      </c>
      <c r="I211">
        <v>119151</v>
      </c>
    </row>
    <row r="212" spans="8:9" x14ac:dyDescent="0.3">
      <c r="H212" s="15" t="s">
        <v>108</v>
      </c>
      <c r="I212">
        <v>230115</v>
      </c>
    </row>
    <row r="213" spans="8:9" x14ac:dyDescent="0.3">
      <c r="H213" s="15" t="s">
        <v>559</v>
      </c>
      <c r="I213">
        <v>50230</v>
      </c>
    </row>
    <row r="214" spans="8:9" x14ac:dyDescent="0.3">
      <c r="H214" s="15" t="s">
        <v>664</v>
      </c>
      <c r="I214">
        <v>35045</v>
      </c>
    </row>
    <row r="215" spans="8:9" x14ac:dyDescent="0.3">
      <c r="H215" s="15" t="s">
        <v>212</v>
      </c>
      <c r="I215">
        <v>214342</v>
      </c>
    </row>
    <row r="216" spans="8:9" x14ac:dyDescent="0.3">
      <c r="H216" s="15" t="s">
        <v>37</v>
      </c>
      <c r="I216">
        <v>408091</v>
      </c>
    </row>
    <row r="217" spans="8:9" x14ac:dyDescent="0.3">
      <c r="H217" s="15" t="s">
        <v>497</v>
      </c>
      <c r="I217">
        <v>621764</v>
      </c>
    </row>
    <row r="218" spans="8:9" x14ac:dyDescent="0.3">
      <c r="H218" s="15" t="s">
        <v>80</v>
      </c>
      <c r="I218">
        <v>8562</v>
      </c>
    </row>
    <row r="219" spans="8:9" x14ac:dyDescent="0.3">
      <c r="H219" s="15" t="s">
        <v>544</v>
      </c>
      <c r="I219">
        <v>152627</v>
      </c>
    </row>
    <row r="220" spans="8:9" x14ac:dyDescent="0.3">
      <c r="H220" s="15" t="s">
        <v>662</v>
      </c>
      <c r="I220">
        <v>541824</v>
      </c>
    </row>
    <row r="221" spans="8:9" x14ac:dyDescent="0.3">
      <c r="H221" s="15" t="s">
        <v>180</v>
      </c>
      <c r="I221">
        <v>150717</v>
      </c>
    </row>
    <row r="222" spans="8:9" x14ac:dyDescent="0.3">
      <c r="H222" s="15" t="s">
        <v>406</v>
      </c>
      <c r="I222">
        <v>54114</v>
      </c>
    </row>
    <row r="223" spans="8:9" x14ac:dyDescent="0.3">
      <c r="H223" s="15" t="s">
        <v>658</v>
      </c>
      <c r="I223">
        <v>56057</v>
      </c>
    </row>
    <row r="224" spans="8:9" x14ac:dyDescent="0.3">
      <c r="H224" s="15" t="s">
        <v>257</v>
      </c>
      <c r="I224">
        <v>52255</v>
      </c>
    </row>
    <row r="225" spans="8:9" x14ac:dyDescent="0.3">
      <c r="H225" s="15" t="s">
        <v>505</v>
      </c>
      <c r="I225">
        <v>44672</v>
      </c>
    </row>
    <row r="226" spans="8:9" x14ac:dyDescent="0.3">
      <c r="H226" s="15" t="s">
        <v>672</v>
      </c>
      <c r="I226">
        <v>11959</v>
      </c>
    </row>
    <row r="227" spans="8:9" x14ac:dyDescent="0.3">
      <c r="H227" s="15" t="s">
        <v>359</v>
      </c>
      <c r="I227">
        <v>18472</v>
      </c>
    </row>
    <row r="228" spans="8:9" x14ac:dyDescent="0.3">
      <c r="H228" s="15" t="s">
        <v>448</v>
      </c>
      <c r="I228">
        <v>9648</v>
      </c>
    </row>
    <row r="229" spans="8:9" x14ac:dyDescent="0.3">
      <c r="H229" s="15" t="s">
        <v>122</v>
      </c>
      <c r="I229">
        <v>323115</v>
      </c>
    </row>
    <row r="230" spans="8:9" x14ac:dyDescent="0.3">
      <c r="H230" s="15" t="s">
        <v>182</v>
      </c>
      <c r="I230">
        <v>366256</v>
      </c>
    </row>
    <row r="231" spans="8:9" x14ac:dyDescent="0.3">
      <c r="H231" s="15" t="s">
        <v>336</v>
      </c>
      <c r="I231">
        <v>29452</v>
      </c>
    </row>
    <row r="232" spans="8:9" x14ac:dyDescent="0.3">
      <c r="H232" s="15" t="s">
        <v>67</v>
      </c>
      <c r="I232">
        <v>28413</v>
      </c>
    </row>
    <row r="233" spans="8:9" x14ac:dyDescent="0.3">
      <c r="H233" s="15" t="s">
        <v>217</v>
      </c>
      <c r="I233">
        <v>203136</v>
      </c>
    </row>
    <row r="234" spans="8:9" x14ac:dyDescent="0.3">
      <c r="H234" s="15" t="s">
        <v>523</v>
      </c>
      <c r="I234">
        <v>3138</v>
      </c>
    </row>
    <row r="235" spans="8:9" x14ac:dyDescent="0.3">
      <c r="H235" s="15" t="s">
        <v>402</v>
      </c>
      <c r="I235">
        <v>13704</v>
      </c>
    </row>
    <row r="236" spans="8:9" x14ac:dyDescent="0.3">
      <c r="H236" s="15" t="s">
        <v>356</v>
      </c>
      <c r="I236">
        <v>56938</v>
      </c>
    </row>
    <row r="237" spans="8:9" x14ac:dyDescent="0.3">
      <c r="H237" s="15" t="s">
        <v>582</v>
      </c>
      <c r="I237">
        <v>10099</v>
      </c>
    </row>
    <row r="238" spans="8:9" x14ac:dyDescent="0.3">
      <c r="H238" s="15" t="s">
        <v>142</v>
      </c>
      <c r="I238">
        <v>144718</v>
      </c>
    </row>
    <row r="239" spans="8:9" x14ac:dyDescent="0.3">
      <c r="H239" s="15" t="s">
        <v>115</v>
      </c>
      <c r="I239">
        <v>270906</v>
      </c>
    </row>
    <row r="240" spans="8:9" x14ac:dyDescent="0.3">
      <c r="H240" s="15" t="s">
        <v>439</v>
      </c>
      <c r="I240">
        <v>11709</v>
      </c>
    </row>
    <row r="241" spans="8:9" x14ac:dyDescent="0.3">
      <c r="H241" s="15" t="s">
        <v>304</v>
      </c>
      <c r="I241">
        <v>22946</v>
      </c>
    </row>
    <row r="242" spans="8:9" x14ac:dyDescent="0.3">
      <c r="H242" s="15" t="s">
        <v>475</v>
      </c>
      <c r="I242">
        <v>614223</v>
      </c>
    </row>
    <row r="243" spans="8:9" x14ac:dyDescent="0.3">
      <c r="H243" s="15" t="s">
        <v>175</v>
      </c>
      <c r="I243">
        <v>59511</v>
      </c>
    </row>
    <row r="244" spans="8:9" x14ac:dyDescent="0.3">
      <c r="H244" s="15" t="s">
        <v>682</v>
      </c>
      <c r="I244">
        <v>11968</v>
      </c>
    </row>
    <row r="245" spans="8:9" x14ac:dyDescent="0.3">
      <c r="H245" s="15" t="s">
        <v>162</v>
      </c>
      <c r="I245">
        <v>355614</v>
      </c>
    </row>
    <row r="246" spans="8:9" x14ac:dyDescent="0.3">
      <c r="H246" s="15" t="s">
        <v>410</v>
      </c>
      <c r="I246">
        <v>20374</v>
      </c>
    </row>
    <row r="247" spans="8:9" x14ac:dyDescent="0.3">
      <c r="H247" s="15" t="s">
        <v>668</v>
      </c>
      <c r="I247">
        <v>33807</v>
      </c>
    </row>
    <row r="248" spans="8:9" x14ac:dyDescent="0.3">
      <c r="H248" s="15" t="s">
        <v>415</v>
      </c>
      <c r="I248">
        <v>86888</v>
      </c>
    </row>
    <row r="249" spans="8:9" x14ac:dyDescent="0.3">
      <c r="H249" s="15" t="s">
        <v>322</v>
      </c>
      <c r="I249">
        <v>10210</v>
      </c>
    </row>
    <row r="250" spans="8:9" x14ac:dyDescent="0.3">
      <c r="H250" s="15" t="s">
        <v>563</v>
      </c>
      <c r="I250">
        <v>27518</v>
      </c>
    </row>
    <row r="251" spans="8:9" x14ac:dyDescent="0.3">
      <c r="H251" s="15" t="s">
        <v>585</v>
      </c>
      <c r="I251">
        <v>20748</v>
      </c>
    </row>
    <row r="252" spans="8:9" x14ac:dyDescent="0.3">
      <c r="H252" s="15" t="s">
        <v>577</v>
      </c>
      <c r="I252">
        <v>13521</v>
      </c>
    </row>
    <row r="253" spans="8:9" x14ac:dyDescent="0.3">
      <c r="H253" s="15" t="s">
        <v>193</v>
      </c>
      <c r="I253">
        <v>17744</v>
      </c>
    </row>
    <row r="254" spans="8:9" x14ac:dyDescent="0.3">
      <c r="H254" s="15" t="s">
        <v>230</v>
      </c>
      <c r="I254">
        <v>23340</v>
      </c>
    </row>
    <row r="255" spans="8:9" x14ac:dyDescent="0.3">
      <c r="H255" s="15" t="s">
        <v>353</v>
      </c>
      <c r="I255">
        <v>212372</v>
      </c>
    </row>
    <row r="256" spans="8:9" x14ac:dyDescent="0.3">
      <c r="H256" s="15" t="s">
        <v>382</v>
      </c>
      <c r="I256">
        <v>559220</v>
      </c>
    </row>
    <row r="257" spans="8:9" x14ac:dyDescent="0.3">
      <c r="H257" s="15" t="s">
        <v>236</v>
      </c>
      <c r="I257">
        <v>225198</v>
      </c>
    </row>
    <row r="258" spans="8:9" x14ac:dyDescent="0.3">
      <c r="H258" s="15" t="s">
        <v>571</v>
      </c>
      <c r="I258">
        <v>26761</v>
      </c>
    </row>
    <row r="259" spans="8:9" x14ac:dyDescent="0.3">
      <c r="H259" s="15" t="s">
        <v>330</v>
      </c>
      <c r="I259">
        <v>17403</v>
      </c>
    </row>
    <row r="260" spans="8:9" x14ac:dyDescent="0.3">
      <c r="H260" s="15" t="s">
        <v>400</v>
      </c>
      <c r="I260">
        <v>237155</v>
      </c>
    </row>
    <row r="261" spans="8:9" x14ac:dyDescent="0.3">
      <c r="H261" s="15" t="s">
        <v>273</v>
      </c>
      <c r="I261">
        <v>35838</v>
      </c>
    </row>
    <row r="262" spans="8:9" x14ac:dyDescent="0.3">
      <c r="H262" s="15" t="s">
        <v>510</v>
      </c>
      <c r="I262">
        <v>55756</v>
      </c>
    </row>
    <row r="263" spans="8:9" x14ac:dyDescent="0.3">
      <c r="H263" s="15" t="s">
        <v>603</v>
      </c>
      <c r="I263">
        <v>21783</v>
      </c>
    </row>
    <row r="264" spans="8:9" x14ac:dyDescent="0.3">
      <c r="H264" s="15" t="s">
        <v>69</v>
      </c>
      <c r="I264">
        <v>40630</v>
      </c>
    </row>
    <row r="265" spans="8:9" x14ac:dyDescent="0.3">
      <c r="H265" s="15" t="s">
        <v>423</v>
      </c>
      <c r="I265">
        <v>73967</v>
      </c>
    </row>
    <row r="266" spans="8:9" x14ac:dyDescent="0.3">
      <c r="H266" s="15" t="s">
        <v>417</v>
      </c>
      <c r="I266">
        <v>5499</v>
      </c>
    </row>
    <row r="267" spans="8:9" x14ac:dyDescent="0.3">
      <c r="H267" s="15" t="s">
        <v>297</v>
      </c>
      <c r="I267">
        <v>6680</v>
      </c>
    </row>
    <row r="268" spans="8:9" x14ac:dyDescent="0.3">
      <c r="H268" s="15" t="s">
        <v>569</v>
      </c>
      <c r="I268">
        <v>6040</v>
      </c>
    </row>
    <row r="269" spans="8:9" x14ac:dyDescent="0.3">
      <c r="H269" s="15" t="s">
        <v>53</v>
      </c>
      <c r="I269">
        <v>37575</v>
      </c>
    </row>
    <row r="270" spans="8:9" x14ac:dyDescent="0.3">
      <c r="H270" s="15" t="s">
        <v>245</v>
      </c>
      <c r="I270">
        <v>30213</v>
      </c>
    </row>
    <row r="271" spans="8:9" x14ac:dyDescent="0.3">
      <c r="H271" s="15" t="s">
        <v>206</v>
      </c>
      <c r="I271">
        <v>343514</v>
      </c>
    </row>
    <row r="272" spans="8:9" x14ac:dyDescent="0.3">
      <c r="H272" s="15" t="s">
        <v>599</v>
      </c>
      <c r="I272">
        <v>442114</v>
      </c>
    </row>
    <row r="273" spans="8:9" x14ac:dyDescent="0.3">
      <c r="H273" s="15" t="s">
        <v>646</v>
      </c>
      <c r="I273">
        <v>70671</v>
      </c>
    </row>
    <row r="274" spans="8:9" x14ac:dyDescent="0.3">
      <c r="H274" s="15" t="s">
        <v>371</v>
      </c>
      <c r="I274">
        <v>38035</v>
      </c>
    </row>
    <row r="275" spans="8:9" x14ac:dyDescent="0.3">
      <c r="H275" s="15" t="s">
        <v>579</v>
      </c>
      <c r="I275">
        <v>10481</v>
      </c>
    </row>
    <row r="276" spans="8:9" x14ac:dyDescent="0.3">
      <c r="H276" s="15" t="s">
        <v>120</v>
      </c>
      <c r="I276">
        <v>1675988</v>
      </c>
    </row>
    <row r="277" spans="8:9" x14ac:dyDescent="0.3">
      <c r="H277" s="15" t="s">
        <v>420</v>
      </c>
      <c r="I277">
        <v>41019</v>
      </c>
    </row>
    <row r="278" spans="8:9" x14ac:dyDescent="0.3">
      <c r="H278" s="15" t="s">
        <v>295</v>
      </c>
      <c r="I278">
        <v>9339</v>
      </c>
    </row>
    <row r="279" spans="8:9" x14ac:dyDescent="0.3">
      <c r="H279" s="15" t="s">
        <v>589</v>
      </c>
      <c r="I279">
        <v>142744</v>
      </c>
    </row>
    <row r="280" spans="8:9" x14ac:dyDescent="0.3">
      <c r="H280" s="15" t="s">
        <v>228</v>
      </c>
      <c r="I280">
        <v>16566</v>
      </c>
    </row>
    <row r="281" spans="8:9" x14ac:dyDescent="0.3">
      <c r="H281" s="15" t="s">
        <v>349</v>
      </c>
      <c r="I281">
        <v>66897</v>
      </c>
    </row>
    <row r="282" spans="8:9" x14ac:dyDescent="0.3">
      <c r="H282" s="15" t="s">
        <v>627</v>
      </c>
      <c r="I282">
        <v>18716</v>
      </c>
    </row>
    <row r="283" spans="8:9" x14ac:dyDescent="0.3">
      <c r="H283" s="15" t="s">
        <v>499</v>
      </c>
      <c r="I283">
        <v>79181</v>
      </c>
    </row>
    <row r="284" spans="8:9" x14ac:dyDescent="0.3">
      <c r="H284" s="15" t="s">
        <v>343</v>
      </c>
      <c r="I284">
        <v>14406</v>
      </c>
    </row>
    <row r="285" spans="8:9" x14ac:dyDescent="0.3">
      <c r="H285" s="15" t="s">
        <v>553</v>
      </c>
      <c r="I285">
        <v>3737</v>
      </c>
    </row>
    <row r="286" spans="8:9" x14ac:dyDescent="0.3">
      <c r="H286" s="15" t="s">
        <v>708</v>
      </c>
      <c r="I286">
        <v>246805</v>
      </c>
    </row>
    <row r="287" spans="8:9" x14ac:dyDescent="0.3">
      <c r="H287" s="15" t="s">
        <v>275</v>
      </c>
      <c r="I287">
        <v>6667</v>
      </c>
    </row>
    <row r="288" spans="8:9" x14ac:dyDescent="0.3">
      <c r="H288" s="15" t="s">
        <v>375</v>
      </c>
      <c r="I288">
        <v>1015979</v>
      </c>
    </row>
    <row r="289" spans="8:9" x14ac:dyDescent="0.3">
      <c r="H289" s="15" t="s">
        <v>164</v>
      </c>
      <c r="I289">
        <v>1224740</v>
      </c>
    </row>
    <row r="290" spans="8:9" x14ac:dyDescent="0.3">
      <c r="H290" s="15" t="s">
        <v>514</v>
      </c>
      <c r="I290">
        <v>14945</v>
      </c>
    </row>
    <row r="291" spans="8:9" x14ac:dyDescent="0.3">
      <c r="H291" s="15" t="s">
        <v>686</v>
      </c>
      <c r="I291">
        <v>118282</v>
      </c>
    </row>
    <row r="292" spans="8:9" x14ac:dyDescent="0.3">
      <c r="H292" s="15" t="s">
        <v>103</v>
      </c>
      <c r="I292">
        <v>21200</v>
      </c>
    </row>
    <row r="293" spans="8:9" x14ac:dyDescent="0.3">
      <c r="H293" s="15" t="s">
        <v>538</v>
      </c>
      <c r="I293">
        <v>27049</v>
      </c>
    </row>
    <row r="294" spans="8:9" x14ac:dyDescent="0.3">
      <c r="H294" s="15" t="s">
        <v>512</v>
      </c>
      <c r="I294">
        <v>38516</v>
      </c>
    </row>
    <row r="295" spans="8:9" x14ac:dyDescent="0.3">
      <c r="H295" s="15" t="s">
        <v>606</v>
      </c>
      <c r="I295">
        <v>20046</v>
      </c>
    </row>
    <row r="296" spans="8:9" x14ac:dyDescent="0.3">
      <c r="H296" s="15" t="s">
        <v>724</v>
      </c>
      <c r="I296">
        <v>32568773</v>
      </c>
    </row>
    <row r="297" spans="8:9" x14ac:dyDescent="0.3">
      <c r="H297" s="15" t="s">
        <v>722</v>
      </c>
      <c r="I297">
        <v>65137546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finance_customer</vt:lpstr>
      <vt:lpstr>Pivot 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fahimyadgir07@gmail.com</cp:lastModifiedBy>
  <dcterms:created xsi:type="dcterms:W3CDTF">2026-05-23T10:07:45Z</dcterms:created>
  <dcterms:modified xsi:type="dcterms:W3CDTF">2026-06-30T15:19:46Z</dcterms:modified>
</cp:coreProperties>
</file>